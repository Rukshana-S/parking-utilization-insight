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91950\Downloads\"/>
    </mc:Choice>
  </mc:AlternateContent>
  <xr:revisionPtr revIDLastSave="0" documentId="13_ncr:1_{7591F41F-D29C-4E62-885D-9BB081F73715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Zone_Session_Summary" sheetId="9" r:id="rId1"/>
    <sheet name="Peak Parking Hours" sheetId="11" r:id="rId2"/>
    <sheet name="Average Parking Duration by Zon" sheetId="12" r:id="rId3"/>
    <sheet name="Event vs Non Event Days" sheetId="13" r:id="rId4"/>
    <sheet name="Rain vs No Rain" sheetId="14" r:id="rId5"/>
    <sheet name="Parking_Dashboard" sheetId="15" r:id="rId6"/>
    <sheet name="Cleaned_Data" sheetId="1" r:id="rId7"/>
    <sheet name="KPI_Summary" sheetId="8" r:id="rId8"/>
    <sheet name="Zone_Summary" sheetId="2" r:id="rId9"/>
    <sheet name="Hourly_Summary" sheetId="3" r:id="rId10"/>
    <sheet name="Duration_by_Zone_Type" sheetId="4" r:id="rId11"/>
    <sheet name="Event_Analysis" sheetId="5" r:id="rId12"/>
    <sheet name="Weather_Analysis" sheetId="6" r:id="rId13"/>
    <sheet name="Missing_Values" sheetId="7" r:id="rId14"/>
  </sheets>
  <calcPr calcId="191029"/>
  <pivotCaches>
    <pivotCache cacheId="13" r:id="rId1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8" l="1"/>
  <c r="B4" i="8"/>
  <c r="B3" i="8"/>
  <c r="B2" i="8"/>
</calcChain>
</file>

<file path=xl/sharedStrings.xml><?xml version="1.0" encoding="utf-8"?>
<sst xmlns="http://schemas.openxmlformats.org/spreadsheetml/2006/main" count="4031" uniqueCount="566">
  <si>
    <t>session_id</t>
  </si>
  <si>
    <t>zone</t>
  </si>
  <si>
    <t>entry</t>
  </si>
  <si>
    <t>exit</t>
  </si>
  <si>
    <t>duration</t>
  </si>
  <si>
    <t>fee</t>
  </si>
  <si>
    <t>exit_missing</t>
  </si>
  <si>
    <t>date</t>
  </si>
  <si>
    <t>entry_hour</t>
  </si>
  <si>
    <t>day_of_week</t>
  </si>
  <si>
    <t>is_weekend</t>
  </si>
  <si>
    <t>time_period</t>
  </si>
  <si>
    <t>parking_duration</t>
  </si>
  <si>
    <t>location</t>
  </si>
  <si>
    <t>capacity</t>
  </si>
  <si>
    <t>zone_type</t>
  </si>
  <si>
    <t>holiday</t>
  </si>
  <si>
    <t>event</t>
  </si>
  <si>
    <t>rain</t>
  </si>
  <si>
    <t>temperature</t>
  </si>
  <si>
    <t>payment_amount</t>
  </si>
  <si>
    <t>payment_mode</t>
  </si>
  <si>
    <t>is_event_day</t>
  </si>
  <si>
    <t>is_rainy</t>
  </si>
  <si>
    <t>S00001</t>
  </si>
  <si>
    <t>Zone E</t>
  </si>
  <si>
    <t>Wednesday</t>
  </si>
  <si>
    <t>Afternoon</t>
  </si>
  <si>
    <t>Park Avenue</t>
  </si>
  <si>
    <t>Recreational</t>
  </si>
  <si>
    <t>CASH</t>
  </si>
  <si>
    <t>No Rain</t>
  </si>
  <si>
    <t>S00002</t>
  </si>
  <si>
    <t>Zone B</t>
  </si>
  <si>
    <t>Thursday</t>
  </si>
  <si>
    <t>Morning</t>
  </si>
  <si>
    <t>Market Street</t>
  </si>
  <si>
    <t>Commercial</t>
  </si>
  <si>
    <t>UPI</t>
  </si>
  <si>
    <t>S00003</t>
  </si>
  <si>
    <t>Zone C</t>
  </si>
  <si>
    <t>Friday</t>
  </si>
  <si>
    <t>Evening</t>
  </si>
  <si>
    <t>Railway Station</t>
  </si>
  <si>
    <t>Transit</t>
  </si>
  <si>
    <t>CARD</t>
  </si>
  <si>
    <t>S00004</t>
  </si>
  <si>
    <t>Zone D</t>
  </si>
  <si>
    <t>Saturday</t>
  </si>
  <si>
    <t>Hospital Road</t>
  </si>
  <si>
    <t>Hospital</t>
  </si>
  <si>
    <t>S00005</t>
  </si>
  <si>
    <t>Sunday</t>
  </si>
  <si>
    <t>S00006</t>
  </si>
  <si>
    <t>Monday</t>
  </si>
  <si>
    <t>S00007</t>
  </si>
  <si>
    <t>Tuesday</t>
  </si>
  <si>
    <t>S00008</t>
  </si>
  <si>
    <t>S00009</t>
  </si>
  <si>
    <t>Rain</t>
  </si>
  <si>
    <t>S00010</t>
  </si>
  <si>
    <t>Zone A</t>
  </si>
  <si>
    <t>City Centre</t>
  </si>
  <si>
    <t>S00011</t>
  </si>
  <si>
    <t>S00012</t>
  </si>
  <si>
    <t>S00013</t>
  </si>
  <si>
    <t>Late Night</t>
  </si>
  <si>
    <t>S00014</t>
  </si>
  <si>
    <t>S00015</t>
  </si>
  <si>
    <t>S00016</t>
  </si>
  <si>
    <t>S00017</t>
  </si>
  <si>
    <t>S00018</t>
  </si>
  <si>
    <t>S00019</t>
  </si>
  <si>
    <t>S00020</t>
  </si>
  <si>
    <t>S00021</t>
  </si>
  <si>
    <t>S00022</t>
  </si>
  <si>
    <t>S00023</t>
  </si>
  <si>
    <t>S00024</t>
  </si>
  <si>
    <t>S00025</t>
  </si>
  <si>
    <t>S00026</t>
  </si>
  <si>
    <t>S00027</t>
  </si>
  <si>
    <t>S00028</t>
  </si>
  <si>
    <t>S00029</t>
  </si>
  <si>
    <t>S00030</t>
  </si>
  <si>
    <t>S00031</t>
  </si>
  <si>
    <t>S00032</t>
  </si>
  <si>
    <t>S00033</t>
  </si>
  <si>
    <t>S00034</t>
  </si>
  <si>
    <t>S00035</t>
  </si>
  <si>
    <t>S00036</t>
  </si>
  <si>
    <t>S00037</t>
  </si>
  <si>
    <t>S00038</t>
  </si>
  <si>
    <t>S00039</t>
  </si>
  <si>
    <t>S00040</t>
  </si>
  <si>
    <t>S00041</t>
  </si>
  <si>
    <t>S00042</t>
  </si>
  <si>
    <t>S00043</t>
  </si>
  <si>
    <t>S00044</t>
  </si>
  <si>
    <t>S00045</t>
  </si>
  <si>
    <t>S00046</t>
  </si>
  <si>
    <t>S00047</t>
  </si>
  <si>
    <t>S00048</t>
  </si>
  <si>
    <t>S00049</t>
  </si>
  <si>
    <t>S00050</t>
  </si>
  <si>
    <t>S00051</t>
  </si>
  <si>
    <t>S00052</t>
  </si>
  <si>
    <t>S00053</t>
  </si>
  <si>
    <t>S00054</t>
  </si>
  <si>
    <t>S00055</t>
  </si>
  <si>
    <t>S00056</t>
  </si>
  <si>
    <t>S00057</t>
  </si>
  <si>
    <t>S00058</t>
  </si>
  <si>
    <t>S00059</t>
  </si>
  <si>
    <t>S00060</t>
  </si>
  <si>
    <t>S00061</t>
  </si>
  <si>
    <t>S00062</t>
  </si>
  <si>
    <t>S00063</t>
  </si>
  <si>
    <t>S00064</t>
  </si>
  <si>
    <t>S00065</t>
  </si>
  <si>
    <t>S00066</t>
  </si>
  <si>
    <t>S00067</t>
  </si>
  <si>
    <t>S00068</t>
  </si>
  <si>
    <t>S00069</t>
  </si>
  <si>
    <t>S00070</t>
  </si>
  <si>
    <t>S00071</t>
  </si>
  <si>
    <t>S00072</t>
  </si>
  <si>
    <t>S00073</t>
  </si>
  <si>
    <t>S00074</t>
  </si>
  <si>
    <t>S00075</t>
  </si>
  <si>
    <t>S00076</t>
  </si>
  <si>
    <t>S00077</t>
  </si>
  <si>
    <t>S00078</t>
  </si>
  <si>
    <t>S00079</t>
  </si>
  <si>
    <t>S00080</t>
  </si>
  <si>
    <t>S00081</t>
  </si>
  <si>
    <t>S00082</t>
  </si>
  <si>
    <t>S00083</t>
  </si>
  <si>
    <t>S00084</t>
  </si>
  <si>
    <t>S00085</t>
  </si>
  <si>
    <t>S00086</t>
  </si>
  <si>
    <t>S00087</t>
  </si>
  <si>
    <t>S00088</t>
  </si>
  <si>
    <t>S00089</t>
  </si>
  <si>
    <t>S00090</t>
  </si>
  <si>
    <t>S00091</t>
  </si>
  <si>
    <t>S00092</t>
  </si>
  <si>
    <t>S00093</t>
  </si>
  <si>
    <t>S00094</t>
  </si>
  <si>
    <t>S00095</t>
  </si>
  <si>
    <t>S00096</t>
  </si>
  <si>
    <t>S00097</t>
  </si>
  <si>
    <t>S00098</t>
  </si>
  <si>
    <t>S00099</t>
  </si>
  <si>
    <t>S00100</t>
  </si>
  <si>
    <t>S00101</t>
  </si>
  <si>
    <t>S00102</t>
  </si>
  <si>
    <t>S00103</t>
  </si>
  <si>
    <t>S00104</t>
  </si>
  <si>
    <t>S00105</t>
  </si>
  <si>
    <t>S00106</t>
  </si>
  <si>
    <t>S00107</t>
  </si>
  <si>
    <t>S00108</t>
  </si>
  <si>
    <t>S00109</t>
  </si>
  <si>
    <t>S00110</t>
  </si>
  <si>
    <t>S00111</t>
  </si>
  <si>
    <t>S00112</t>
  </si>
  <si>
    <t>S00113</t>
  </si>
  <si>
    <t>S00114</t>
  </si>
  <si>
    <t>S00115</t>
  </si>
  <si>
    <t>S00116</t>
  </si>
  <si>
    <t>S00117</t>
  </si>
  <si>
    <t>S00118</t>
  </si>
  <si>
    <t>S00119</t>
  </si>
  <si>
    <t>S00120</t>
  </si>
  <si>
    <t>S00121</t>
  </si>
  <si>
    <t>S00122</t>
  </si>
  <si>
    <t>S00123</t>
  </si>
  <si>
    <t>S00124</t>
  </si>
  <si>
    <t>S00125</t>
  </si>
  <si>
    <t>S00126</t>
  </si>
  <si>
    <t>S00127</t>
  </si>
  <si>
    <t>S00128</t>
  </si>
  <si>
    <t>S00129</t>
  </si>
  <si>
    <t>S00130</t>
  </si>
  <si>
    <t>S00131</t>
  </si>
  <si>
    <t>S00132</t>
  </si>
  <si>
    <t>S00133</t>
  </si>
  <si>
    <t>S00134</t>
  </si>
  <si>
    <t>S00135</t>
  </si>
  <si>
    <t>S00136</t>
  </si>
  <si>
    <t>S00137</t>
  </si>
  <si>
    <t>S00138</t>
  </si>
  <si>
    <t>S00139</t>
  </si>
  <si>
    <t>S00140</t>
  </si>
  <si>
    <t>S00141</t>
  </si>
  <si>
    <t>S00142</t>
  </si>
  <si>
    <t>S00143</t>
  </si>
  <si>
    <t>S00144</t>
  </si>
  <si>
    <t>S00145</t>
  </si>
  <si>
    <t>S00146</t>
  </si>
  <si>
    <t>S00147</t>
  </si>
  <si>
    <t>S00148</t>
  </si>
  <si>
    <t>S00149</t>
  </si>
  <si>
    <t>S00150</t>
  </si>
  <si>
    <t>S00151</t>
  </si>
  <si>
    <t>S00152</t>
  </si>
  <si>
    <t>S00153</t>
  </si>
  <si>
    <t>S00154</t>
  </si>
  <si>
    <t>S00156</t>
  </si>
  <si>
    <t>S00157</t>
  </si>
  <si>
    <t>S00158</t>
  </si>
  <si>
    <t>S00159</t>
  </si>
  <si>
    <t>S00160</t>
  </si>
  <si>
    <t>S00161</t>
  </si>
  <si>
    <t>S00162</t>
  </si>
  <si>
    <t>S00163</t>
  </si>
  <si>
    <t>S00164</t>
  </si>
  <si>
    <t>S00165</t>
  </si>
  <si>
    <t>S00166</t>
  </si>
  <si>
    <t>S00167</t>
  </si>
  <si>
    <t>S00168</t>
  </si>
  <si>
    <t>S00169</t>
  </si>
  <si>
    <t>S00170</t>
  </si>
  <si>
    <t>S00171</t>
  </si>
  <si>
    <t>S00172</t>
  </si>
  <si>
    <t>S00173</t>
  </si>
  <si>
    <t>S00174</t>
  </si>
  <si>
    <t>S00175</t>
  </si>
  <si>
    <t>S00176</t>
  </si>
  <si>
    <t>S00177</t>
  </si>
  <si>
    <t>S00178</t>
  </si>
  <si>
    <t>S00179</t>
  </si>
  <si>
    <t>S00180</t>
  </si>
  <si>
    <t>S00181</t>
  </si>
  <si>
    <t>S00182</t>
  </si>
  <si>
    <t>S00183</t>
  </si>
  <si>
    <t>S00184</t>
  </si>
  <si>
    <t>S00185</t>
  </si>
  <si>
    <t>S00186</t>
  </si>
  <si>
    <t>S00187</t>
  </si>
  <si>
    <t>S00188</t>
  </si>
  <si>
    <t>S00189</t>
  </si>
  <si>
    <t>S00190</t>
  </si>
  <si>
    <t>S00191</t>
  </si>
  <si>
    <t>S00192</t>
  </si>
  <si>
    <t>S00193</t>
  </si>
  <si>
    <t>S00194</t>
  </si>
  <si>
    <t>S00195</t>
  </si>
  <si>
    <t>S00196</t>
  </si>
  <si>
    <t>S00197</t>
  </si>
  <si>
    <t>S00198</t>
  </si>
  <si>
    <t>S00199</t>
  </si>
  <si>
    <t>S00201</t>
  </si>
  <si>
    <t>S00202</t>
  </si>
  <si>
    <t>S00203</t>
  </si>
  <si>
    <t>S00204</t>
  </si>
  <si>
    <t>S00205</t>
  </si>
  <si>
    <t>S00206</t>
  </si>
  <si>
    <t>S00207</t>
  </si>
  <si>
    <t>S00208</t>
  </si>
  <si>
    <t>S00209</t>
  </si>
  <si>
    <t>S00210</t>
  </si>
  <si>
    <t>S00211</t>
  </si>
  <si>
    <t>S00212</t>
  </si>
  <si>
    <t>S00213</t>
  </si>
  <si>
    <t>S00214</t>
  </si>
  <si>
    <t>S00215</t>
  </si>
  <si>
    <t>S00216</t>
  </si>
  <si>
    <t>S00217</t>
  </si>
  <si>
    <t>S00218</t>
  </si>
  <si>
    <t>S00219</t>
  </si>
  <si>
    <t>S00220</t>
  </si>
  <si>
    <t>S00221</t>
  </si>
  <si>
    <t>S00222</t>
  </si>
  <si>
    <t>S00223</t>
  </si>
  <si>
    <t>S00224</t>
  </si>
  <si>
    <t>S00225</t>
  </si>
  <si>
    <t>S00226</t>
  </si>
  <si>
    <t>S00227</t>
  </si>
  <si>
    <t>S00228</t>
  </si>
  <si>
    <t>S00229</t>
  </si>
  <si>
    <t>S00230</t>
  </si>
  <si>
    <t>S00231</t>
  </si>
  <si>
    <t>S00232</t>
  </si>
  <si>
    <t>S00233</t>
  </si>
  <si>
    <t>S00234</t>
  </si>
  <si>
    <t>S00235</t>
  </si>
  <si>
    <t>S00236</t>
  </si>
  <si>
    <t>S00237</t>
  </si>
  <si>
    <t>S00238</t>
  </si>
  <si>
    <t>S00239</t>
  </si>
  <si>
    <t>S00240</t>
  </si>
  <si>
    <t>S00241</t>
  </si>
  <si>
    <t>S00242</t>
  </si>
  <si>
    <t>S00243</t>
  </si>
  <si>
    <t>S00244</t>
  </si>
  <si>
    <t>S00245</t>
  </si>
  <si>
    <t>S00246</t>
  </si>
  <si>
    <t>S00247</t>
  </si>
  <si>
    <t>S00248</t>
  </si>
  <si>
    <t>S00249</t>
  </si>
  <si>
    <t>S00250</t>
  </si>
  <si>
    <t>S00251</t>
  </si>
  <si>
    <t>S00252</t>
  </si>
  <si>
    <t>S00253</t>
  </si>
  <si>
    <t>S00254</t>
  </si>
  <si>
    <t>S00255</t>
  </si>
  <si>
    <t>S00256</t>
  </si>
  <si>
    <t>S00257</t>
  </si>
  <si>
    <t>S00258</t>
  </si>
  <si>
    <t>S00259</t>
  </si>
  <si>
    <t>S00260</t>
  </si>
  <si>
    <t>S00261</t>
  </si>
  <si>
    <t>S00262</t>
  </si>
  <si>
    <t>S00263</t>
  </si>
  <si>
    <t>S00264</t>
  </si>
  <si>
    <t>S00265</t>
  </si>
  <si>
    <t>S00266</t>
  </si>
  <si>
    <t>S00267</t>
  </si>
  <si>
    <t>S00269</t>
  </si>
  <si>
    <t>S00270</t>
  </si>
  <si>
    <t>S00271</t>
  </si>
  <si>
    <t>S00272</t>
  </si>
  <si>
    <t>S00273</t>
  </si>
  <si>
    <t>S00274</t>
  </si>
  <si>
    <t>S00275</t>
  </si>
  <si>
    <t>S00276</t>
  </si>
  <si>
    <t>S00277</t>
  </si>
  <si>
    <t>S00278</t>
  </si>
  <si>
    <t>S00279</t>
  </si>
  <si>
    <t>S00280</t>
  </si>
  <si>
    <t>S00281</t>
  </si>
  <si>
    <t>S00282</t>
  </si>
  <si>
    <t>S00283</t>
  </si>
  <si>
    <t>S00284</t>
  </si>
  <si>
    <t>S00285</t>
  </si>
  <si>
    <t>S00286</t>
  </si>
  <si>
    <t>S00287</t>
  </si>
  <si>
    <t>S00288</t>
  </si>
  <si>
    <t>S00289</t>
  </si>
  <si>
    <t>S00290</t>
  </si>
  <si>
    <t>S00291</t>
  </si>
  <si>
    <t>S00292</t>
  </si>
  <si>
    <t>S00293</t>
  </si>
  <si>
    <t>S00294</t>
  </si>
  <si>
    <t>S00295</t>
  </si>
  <si>
    <t>S00296</t>
  </si>
  <si>
    <t>S00297</t>
  </si>
  <si>
    <t>S00298</t>
  </si>
  <si>
    <t>S00299</t>
  </si>
  <si>
    <t>S00300</t>
  </si>
  <si>
    <t>S00301</t>
  </si>
  <si>
    <t>S00302</t>
  </si>
  <si>
    <t>S00303</t>
  </si>
  <si>
    <t>S00304</t>
  </si>
  <si>
    <t>S00305</t>
  </si>
  <si>
    <t>S00306</t>
  </si>
  <si>
    <t>S00307</t>
  </si>
  <si>
    <t>S00308</t>
  </si>
  <si>
    <t>S00309</t>
  </si>
  <si>
    <t>S00310</t>
  </si>
  <si>
    <t>S00311</t>
  </si>
  <si>
    <t>S00312</t>
  </si>
  <si>
    <t>S00313</t>
  </si>
  <si>
    <t>S00314</t>
  </si>
  <si>
    <t>S00315</t>
  </si>
  <si>
    <t>S00316</t>
  </si>
  <si>
    <t>S00317</t>
  </si>
  <si>
    <t>S00318</t>
  </si>
  <si>
    <t>S00319</t>
  </si>
  <si>
    <t>S00320</t>
  </si>
  <si>
    <t>S00321</t>
  </si>
  <si>
    <t>S00322</t>
  </si>
  <si>
    <t>S00323</t>
  </si>
  <si>
    <t>S00324</t>
  </si>
  <si>
    <t>S00325</t>
  </si>
  <si>
    <t>S00326</t>
  </si>
  <si>
    <t>S00327</t>
  </si>
  <si>
    <t>S00328</t>
  </si>
  <si>
    <t>S00329</t>
  </si>
  <si>
    <t>S00330</t>
  </si>
  <si>
    <t>S00331</t>
  </si>
  <si>
    <t>S00332</t>
  </si>
  <si>
    <t>S00333</t>
  </si>
  <si>
    <t>S00334</t>
  </si>
  <si>
    <t>S00335</t>
  </si>
  <si>
    <t>S00336</t>
  </si>
  <si>
    <t>S00337</t>
  </si>
  <si>
    <t>S00338</t>
  </si>
  <si>
    <t>S00339</t>
  </si>
  <si>
    <t>S00340</t>
  </si>
  <si>
    <t>S00341</t>
  </si>
  <si>
    <t>S00342</t>
  </si>
  <si>
    <t>S00343</t>
  </si>
  <si>
    <t>S00344</t>
  </si>
  <si>
    <t>S00345</t>
  </si>
  <si>
    <t>S00346</t>
  </si>
  <si>
    <t>S00347</t>
  </si>
  <si>
    <t>S00348</t>
  </si>
  <si>
    <t>S00349</t>
  </si>
  <si>
    <t>S00350</t>
  </si>
  <si>
    <t>S00351</t>
  </si>
  <si>
    <t>S00352</t>
  </si>
  <si>
    <t>S00353</t>
  </si>
  <si>
    <t>S00354</t>
  </si>
  <si>
    <t>S00355</t>
  </si>
  <si>
    <t>S00356</t>
  </si>
  <si>
    <t>S00357</t>
  </si>
  <si>
    <t>S00358</t>
  </si>
  <si>
    <t>S00359</t>
  </si>
  <si>
    <t>S00360</t>
  </si>
  <si>
    <t>S00361</t>
  </si>
  <si>
    <t>S00362</t>
  </si>
  <si>
    <t>S00363</t>
  </si>
  <si>
    <t>S00364</t>
  </si>
  <si>
    <t>S00365</t>
  </si>
  <si>
    <t>S00366</t>
  </si>
  <si>
    <t>S00367</t>
  </si>
  <si>
    <t>S00368</t>
  </si>
  <si>
    <t>S00369</t>
  </si>
  <si>
    <t>S00370</t>
  </si>
  <si>
    <t>S00371</t>
  </si>
  <si>
    <t>S00372</t>
  </si>
  <si>
    <t>S00373</t>
  </si>
  <si>
    <t>S00374</t>
  </si>
  <si>
    <t>S00375</t>
  </si>
  <si>
    <t>S00376</t>
  </si>
  <si>
    <t>S00377</t>
  </si>
  <si>
    <t>S00378</t>
  </si>
  <si>
    <t>S00379</t>
  </si>
  <si>
    <t>S00380</t>
  </si>
  <si>
    <t>S00381</t>
  </si>
  <si>
    <t>S00382</t>
  </si>
  <si>
    <t>S00383</t>
  </si>
  <si>
    <t>S00384</t>
  </si>
  <si>
    <t>S00385</t>
  </si>
  <si>
    <t>S00386</t>
  </si>
  <si>
    <t>S00387</t>
  </si>
  <si>
    <t>S00388</t>
  </si>
  <si>
    <t>S00389</t>
  </si>
  <si>
    <t>S00390</t>
  </si>
  <si>
    <t>S00391</t>
  </si>
  <si>
    <t>S00392</t>
  </si>
  <si>
    <t>S00393</t>
  </si>
  <si>
    <t>S00394</t>
  </si>
  <si>
    <t>S00395</t>
  </si>
  <si>
    <t>S00396</t>
  </si>
  <si>
    <t>S00397</t>
  </si>
  <si>
    <t>S00398</t>
  </si>
  <si>
    <t>S00399</t>
  </si>
  <si>
    <t>S00400</t>
  </si>
  <si>
    <t>S00401</t>
  </si>
  <si>
    <t>S00402</t>
  </si>
  <si>
    <t>S00403</t>
  </si>
  <si>
    <t>S00404</t>
  </si>
  <si>
    <t>S00405</t>
  </si>
  <si>
    <t>S00406</t>
  </si>
  <si>
    <t>S00407</t>
  </si>
  <si>
    <t>S00408</t>
  </si>
  <si>
    <t>S00409</t>
  </si>
  <si>
    <t>S00410</t>
  </si>
  <si>
    <t>S00411</t>
  </si>
  <si>
    <t>S00412</t>
  </si>
  <si>
    <t>S00413</t>
  </si>
  <si>
    <t>S00414</t>
  </si>
  <si>
    <t>S00416</t>
  </si>
  <si>
    <t>S00417</t>
  </si>
  <si>
    <t>S00418</t>
  </si>
  <si>
    <t>S00419</t>
  </si>
  <si>
    <t>S00420</t>
  </si>
  <si>
    <t>S00421</t>
  </si>
  <si>
    <t>S00422</t>
  </si>
  <si>
    <t>S00423</t>
  </si>
  <si>
    <t>S00425</t>
  </si>
  <si>
    <t>S00426</t>
  </si>
  <si>
    <t>S00427</t>
  </si>
  <si>
    <t>S00428</t>
  </si>
  <si>
    <t>S00429</t>
  </si>
  <si>
    <t>S00430</t>
  </si>
  <si>
    <t>S00431</t>
  </si>
  <si>
    <t>S00432</t>
  </si>
  <si>
    <t>S00433</t>
  </si>
  <si>
    <t>S00434</t>
  </si>
  <si>
    <t>S00435</t>
  </si>
  <si>
    <t>S00436</t>
  </si>
  <si>
    <t>S00437</t>
  </si>
  <si>
    <t>S00438</t>
  </si>
  <si>
    <t>S00439</t>
  </si>
  <si>
    <t>S00440</t>
  </si>
  <si>
    <t>S00441</t>
  </si>
  <si>
    <t>S00442</t>
  </si>
  <si>
    <t>S00443</t>
  </si>
  <si>
    <t>S00444</t>
  </si>
  <si>
    <t>S00445</t>
  </si>
  <si>
    <t>S00446</t>
  </si>
  <si>
    <t>S00447</t>
  </si>
  <si>
    <t>S00448</t>
  </si>
  <si>
    <t>S00449</t>
  </si>
  <si>
    <t>S00450</t>
  </si>
  <si>
    <t>S00451</t>
  </si>
  <si>
    <t>S00452</t>
  </si>
  <si>
    <t>S00453</t>
  </si>
  <si>
    <t>S00454</t>
  </si>
  <si>
    <t>S00455</t>
  </si>
  <si>
    <t>S00456</t>
  </si>
  <si>
    <t>S00457</t>
  </si>
  <si>
    <t>S00458</t>
  </si>
  <si>
    <t>S00459</t>
  </si>
  <si>
    <t>S00460</t>
  </si>
  <si>
    <t>S00461</t>
  </si>
  <si>
    <t>S00462</t>
  </si>
  <si>
    <t>S00463</t>
  </si>
  <si>
    <t>S00464</t>
  </si>
  <si>
    <t>S00465</t>
  </si>
  <si>
    <t>S00466</t>
  </si>
  <si>
    <t>S00467</t>
  </si>
  <si>
    <t>S00468</t>
  </si>
  <si>
    <t>S00470</t>
  </si>
  <si>
    <t>S00471</t>
  </si>
  <si>
    <t>S00472</t>
  </si>
  <si>
    <t>S00473</t>
  </si>
  <si>
    <t>S00475</t>
  </si>
  <si>
    <t>S00476</t>
  </si>
  <si>
    <t>S00477</t>
  </si>
  <si>
    <t>S00478</t>
  </si>
  <si>
    <t>S00480</t>
  </si>
  <si>
    <t>S00481</t>
  </si>
  <si>
    <t>S00482</t>
  </si>
  <si>
    <t>S00483</t>
  </si>
  <si>
    <t>S00484</t>
  </si>
  <si>
    <t>S00485</t>
  </si>
  <si>
    <t>S00486</t>
  </si>
  <si>
    <t>S00487</t>
  </si>
  <si>
    <t>S00488</t>
  </si>
  <si>
    <t>S00489</t>
  </si>
  <si>
    <t>S00490</t>
  </si>
  <si>
    <t>S00491</t>
  </si>
  <si>
    <t>S00492</t>
  </si>
  <si>
    <t>S00493</t>
  </si>
  <si>
    <t>S00494</t>
  </si>
  <si>
    <t>S00495</t>
  </si>
  <si>
    <t>S00496</t>
  </si>
  <si>
    <t>S00497</t>
  </si>
  <si>
    <t>S00498</t>
  </si>
  <si>
    <t>S00499</t>
  </si>
  <si>
    <t>S00500</t>
  </si>
  <si>
    <t>total_sessions</t>
  </si>
  <si>
    <t>average_duration</t>
  </si>
  <si>
    <t>total_fees</t>
  </si>
  <si>
    <t>average_fee</t>
  </si>
  <si>
    <t>session_count</t>
  </si>
  <si>
    <t>median_duration</t>
  </si>
  <si>
    <t>feature</t>
  </si>
  <si>
    <t>missing_values</t>
  </si>
  <si>
    <t>missing_percentage</t>
  </si>
  <si>
    <t>Metric</t>
  </si>
  <si>
    <t>Excel formula / method</t>
  </si>
  <si>
    <t>Total sessions</t>
  </si>
  <si>
    <t>Average duration</t>
  </si>
  <si>
    <t>Total parking fees</t>
  </si>
  <si>
    <t>Average parking fee</t>
  </si>
  <si>
    <t>Row Labels</t>
  </si>
  <si>
    <t>Grand Total</t>
  </si>
  <si>
    <t>Count of session_id</t>
  </si>
  <si>
    <t>Average of duration</t>
  </si>
  <si>
    <t>PARKING UTILIZATION INSIGHT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</si>
</sst>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2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yyyy\-mm\-dd\ hh:mm:ss"/>
    </dxf>
    <dxf>
      <numFmt numFmtId="165" formatCode="yyyy\-mm\-dd\ hh:mm:ss"/>
    </dxf>
    <dxf>
      <numFmt numFmtId="165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[Parking_Utilization_Analysis.xlsx]Zone_Session_Summary!PivotTable1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Zone_Session_Summary!$B$3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Zone_Session_Summary!$A$4:$A$9</c:f>
              <c:strCache>
                <c:ptCount val="5"/>
                <c:pt idx="0">
                  <c:v>Zone A</c:v>
                </c:pt>
                <c:pt idx="1">
                  <c:v>Zone B</c:v>
                </c:pt>
                <c:pt idx="2">
                  <c:v>Zone C</c:v>
                </c:pt>
                <c:pt idx="3">
                  <c:v>Zone D</c:v>
                </c:pt>
                <c:pt idx="4">
                  <c:v>Zone E</c:v>
                </c:pt>
              </c:strCache>
            </c:strRef>
          </c:cat>
          <c:val>
            <c:numRef>
              <c:f>Zone_Session_Summary!$B$4:$B$9</c:f>
              <c:numCache>
                <c:formatCode>General</c:formatCode>
                <c:ptCount val="5"/>
                <c:pt idx="0">
                  <c:v>104</c:v>
                </c:pt>
                <c:pt idx="1">
                  <c:v>93</c:v>
                </c:pt>
                <c:pt idx="2">
                  <c:v>89</c:v>
                </c:pt>
                <c:pt idx="3">
                  <c:v>105</c:v>
                </c:pt>
                <c:pt idx="4">
                  <c:v>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E0-4781-B4F7-D1F26B9911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8769344"/>
        <c:axId val="1872648848"/>
      </c:barChart>
      <c:catAx>
        <c:axId val="1788769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2648848"/>
        <c:crosses val="autoZero"/>
        <c:auto val="1"/>
        <c:lblAlgn val="ctr"/>
        <c:lblOffset val="100"/>
        <c:noMultiLvlLbl val="0"/>
      </c:catAx>
      <c:valAx>
        <c:axId val="1872648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8769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[Parking_Utilization_Analysis.xlsx]Peak Parking Hours!PivotTable3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'Peak Parking Hours'!$B$3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'Peak Parking Hours'!$A$4:$A$21</c:f>
              <c:strCache>
                <c:ptCount val="17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</c:strCache>
            </c:strRef>
          </c:cat>
          <c:val>
            <c:numRef>
              <c:f>'Peak Parking Hours'!$B$4:$B$21</c:f>
              <c:numCache>
                <c:formatCode>General</c:formatCode>
                <c:ptCount val="17"/>
                <c:pt idx="0">
                  <c:v>27</c:v>
                </c:pt>
                <c:pt idx="1">
                  <c:v>17</c:v>
                </c:pt>
                <c:pt idx="2">
                  <c:v>34</c:v>
                </c:pt>
                <c:pt idx="3">
                  <c:v>25</c:v>
                </c:pt>
                <c:pt idx="4">
                  <c:v>25</c:v>
                </c:pt>
                <c:pt idx="5">
                  <c:v>31</c:v>
                </c:pt>
                <c:pt idx="6">
                  <c:v>27</c:v>
                </c:pt>
                <c:pt idx="7">
                  <c:v>26</c:v>
                </c:pt>
                <c:pt idx="8">
                  <c:v>35</c:v>
                </c:pt>
                <c:pt idx="9">
                  <c:v>22</c:v>
                </c:pt>
                <c:pt idx="10">
                  <c:v>26</c:v>
                </c:pt>
                <c:pt idx="11">
                  <c:v>32</c:v>
                </c:pt>
                <c:pt idx="12">
                  <c:v>36</c:v>
                </c:pt>
                <c:pt idx="13">
                  <c:v>34</c:v>
                </c:pt>
                <c:pt idx="14">
                  <c:v>32</c:v>
                </c:pt>
                <c:pt idx="15">
                  <c:v>32</c:v>
                </c:pt>
                <c:pt idx="16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B0-4368-9D58-F584C257D4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7179200"/>
        <c:axId val="1872657968"/>
      </c:lineChart>
      <c:catAx>
        <c:axId val="1817179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2657968"/>
        <c:crosses val="autoZero"/>
        <c:auto val="1"/>
        <c:lblAlgn val="ctr"/>
        <c:lblOffset val="100"/>
        <c:noMultiLvlLbl val="0"/>
      </c:catAx>
      <c:valAx>
        <c:axId val="1872657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7179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[Parking_Utilization_Analysis.xlsx]Average Parking Duration by Zon!PivotTable4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'Average Parking Duration by Zon'!$B$3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'Average Parking Duration by Zon'!$A$4:$A$8</c:f>
              <c:strCache>
                <c:ptCount val="4"/>
                <c:pt idx="0">
                  <c:v>Commercial</c:v>
                </c:pt>
                <c:pt idx="1">
                  <c:v>Hospital</c:v>
                </c:pt>
                <c:pt idx="2">
                  <c:v>Recreational</c:v>
                </c:pt>
                <c:pt idx="3">
                  <c:v>Transit</c:v>
                </c:pt>
              </c:strCache>
            </c:strRef>
          </c:cat>
          <c:val>
            <c:numRef>
              <c:f>'Average Parking Duration by Zon'!$B$4:$B$8</c:f>
              <c:numCache>
                <c:formatCode>General</c:formatCode>
                <c:ptCount val="4"/>
                <c:pt idx="0">
                  <c:v>2.1834188034188049</c:v>
                </c:pt>
                <c:pt idx="1">
                  <c:v>2.024519230769231</c:v>
                </c:pt>
                <c:pt idx="2">
                  <c:v>2.3278350515463924</c:v>
                </c:pt>
                <c:pt idx="3">
                  <c:v>2.2439922480620149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C7-414C-B4F1-C940F1DF8E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7891184"/>
        <c:axId val="1872691568"/>
      </c:barChart>
      <c:catAx>
        <c:axId val="1827891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2691568"/>
        <c:crosses val="autoZero"/>
        <c:auto val="1"/>
        <c:lblAlgn val="ctr"/>
        <c:lblOffset val="100"/>
        <c:noMultiLvlLbl val="0"/>
      </c:catAx>
      <c:valAx>
        <c:axId val="1872691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7891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[Parking_Utilization_Analysis.xlsx]Event vs Non Event Days!PivotTable5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'Event vs Non Event Days'!$B$3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'Event vs Non Event Days'!$A$4:$A$6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'Event vs Non Event Days'!$B$4:$B$6</c:f>
              <c:numCache>
                <c:formatCode>General</c:formatCode>
                <c:ptCount val="2"/>
                <c:pt idx="0">
                  <c:v>464</c:v>
                </c:pt>
                <c:pt idx="1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C8-4990-BE70-02F550165F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41090400"/>
        <c:axId val="1872693008"/>
      </c:barChart>
      <c:catAx>
        <c:axId val="13410904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2693008"/>
        <c:crosses val="autoZero"/>
        <c:auto val="1"/>
        <c:lblAlgn val="ctr"/>
        <c:lblOffset val="100"/>
        <c:noMultiLvlLbl val="0"/>
      </c:catAx>
      <c:valAx>
        <c:axId val="1872693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1090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[Parking_Utilization_Analysis.xlsx]Rain vs No Rain!PivotTable6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'Rain vs No Rain'!$B$3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'Rain vs No Rain'!$A$4:$A$6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'Rain vs No Rain'!$B$4:$B$6</c:f>
              <c:numCache>
                <c:formatCode>General</c:formatCode>
                <c:ptCount val="2"/>
                <c:pt idx="0">
                  <c:v>363</c:v>
                </c:pt>
                <c:pt idx="1">
                  <c:v>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84-4C01-84FB-97693A026C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[Parking_Utilization_Analysis.xlsx]Zone_Session_Summary!PivotTable1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Zone_Session_Summary!$B$3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Zone_Session_Summary!$A$4:$A$9</c:f>
              <c:strCache>
                <c:ptCount val="5"/>
                <c:pt idx="0">
                  <c:v>Zone A</c:v>
                </c:pt>
                <c:pt idx="1">
                  <c:v>Zone B</c:v>
                </c:pt>
                <c:pt idx="2">
                  <c:v>Zone C</c:v>
                </c:pt>
                <c:pt idx="3">
                  <c:v>Zone D</c:v>
                </c:pt>
                <c:pt idx="4">
                  <c:v>Zone E</c:v>
                </c:pt>
              </c:strCache>
            </c:strRef>
          </c:cat>
          <c:val>
            <c:numRef>
              <c:f>Zone_Session_Summary!$B$4:$B$9</c:f>
              <c:numCache>
                <c:formatCode>General</c:formatCode>
                <c:ptCount val="5"/>
                <c:pt idx="0">
                  <c:v>104</c:v>
                </c:pt>
                <c:pt idx="1">
                  <c:v>93</c:v>
                </c:pt>
                <c:pt idx="2">
                  <c:v>89</c:v>
                </c:pt>
                <c:pt idx="3">
                  <c:v>105</c:v>
                </c:pt>
                <c:pt idx="4">
                  <c:v>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90-47C3-97CA-D83BFAB342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8769344"/>
        <c:axId val="1872648848"/>
      </c:barChart>
      <c:catAx>
        <c:axId val="1788769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2648848"/>
        <c:crosses val="autoZero"/>
        <c:auto val="1"/>
        <c:lblAlgn val="ctr"/>
        <c:lblOffset val="100"/>
        <c:noMultiLvlLbl val="0"/>
      </c:catAx>
      <c:valAx>
        <c:axId val="1872648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8769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[Parking_Utilization_Analysis.xlsx]Peak Parking Hours!PivotTable3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'Peak Parking Hours'!$B$3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'Peak Parking Hours'!$A$4:$A$21</c:f>
              <c:strCache>
                <c:ptCount val="17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</c:strCache>
            </c:strRef>
          </c:cat>
          <c:val>
            <c:numRef>
              <c:f>'Peak Parking Hours'!$B$4:$B$21</c:f>
              <c:numCache>
                <c:formatCode>General</c:formatCode>
                <c:ptCount val="17"/>
                <c:pt idx="0">
                  <c:v>27</c:v>
                </c:pt>
                <c:pt idx="1">
                  <c:v>17</c:v>
                </c:pt>
                <c:pt idx="2">
                  <c:v>34</c:v>
                </c:pt>
                <c:pt idx="3">
                  <c:v>25</c:v>
                </c:pt>
                <c:pt idx="4">
                  <c:v>25</c:v>
                </c:pt>
                <c:pt idx="5">
                  <c:v>31</c:v>
                </c:pt>
                <c:pt idx="6">
                  <c:v>27</c:v>
                </c:pt>
                <c:pt idx="7">
                  <c:v>26</c:v>
                </c:pt>
                <c:pt idx="8">
                  <c:v>35</c:v>
                </c:pt>
                <c:pt idx="9">
                  <c:v>22</c:v>
                </c:pt>
                <c:pt idx="10">
                  <c:v>26</c:v>
                </c:pt>
                <c:pt idx="11">
                  <c:v>32</c:v>
                </c:pt>
                <c:pt idx="12">
                  <c:v>36</c:v>
                </c:pt>
                <c:pt idx="13">
                  <c:v>34</c:v>
                </c:pt>
                <c:pt idx="14">
                  <c:v>32</c:v>
                </c:pt>
                <c:pt idx="15">
                  <c:v>32</c:v>
                </c:pt>
                <c:pt idx="16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6A-4DE6-A811-BC4AB4A5E5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7179200"/>
        <c:axId val="1872657968"/>
      </c:lineChart>
      <c:catAx>
        <c:axId val="1817179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2657968"/>
        <c:crosses val="autoZero"/>
        <c:auto val="1"/>
        <c:lblAlgn val="ctr"/>
        <c:lblOffset val="100"/>
        <c:noMultiLvlLbl val="0"/>
      </c:catAx>
      <c:valAx>
        <c:axId val="1872657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7179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[Parking_Utilization_Analysis.xlsx]Average Parking Duration by Zon!PivotTable4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'Average Parking Duration by Zon'!$B$3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'Average Parking Duration by Zon'!$A$4:$A$8</c:f>
              <c:strCache>
                <c:ptCount val="4"/>
                <c:pt idx="0">
                  <c:v>Commercial</c:v>
                </c:pt>
                <c:pt idx="1">
                  <c:v>Hospital</c:v>
                </c:pt>
                <c:pt idx="2">
                  <c:v>Recreational</c:v>
                </c:pt>
                <c:pt idx="3">
                  <c:v>Transit</c:v>
                </c:pt>
              </c:strCache>
            </c:strRef>
          </c:cat>
          <c:val>
            <c:numRef>
              <c:f>'Average Parking Duration by Zon'!$B$4:$B$8</c:f>
              <c:numCache>
                <c:formatCode>General</c:formatCode>
                <c:ptCount val="4"/>
                <c:pt idx="0">
                  <c:v>2.1834188034188049</c:v>
                </c:pt>
                <c:pt idx="1">
                  <c:v>2.024519230769231</c:v>
                </c:pt>
                <c:pt idx="2">
                  <c:v>2.3278350515463924</c:v>
                </c:pt>
                <c:pt idx="3">
                  <c:v>2.2439922480620149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42-45BF-AE05-8377F2B7D0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7891184"/>
        <c:axId val="1872691568"/>
      </c:barChart>
      <c:catAx>
        <c:axId val="1827891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2691568"/>
        <c:crosses val="autoZero"/>
        <c:auto val="1"/>
        <c:lblAlgn val="ctr"/>
        <c:lblOffset val="100"/>
        <c:noMultiLvlLbl val="0"/>
      </c:catAx>
      <c:valAx>
        <c:axId val="1872691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7891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[Parking_Utilization_Analysis.xlsx]Rain vs No Rain!PivotTable6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'Rain vs No Rain'!$B$3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61A-4BC7-9DBF-DAB848A04E8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61A-4BC7-9DBF-DAB848A04E81}"/>
              </c:ext>
            </c:extLst>
          </c:dPt>
          <c:cat>
            <c:strRef>
              <c:f>'Rain vs No Rain'!$A$4:$A$6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'Rain vs No Rain'!$B$4:$B$6</c:f>
              <c:numCache>
                <c:formatCode>General</c:formatCode>
                <c:ptCount val="2"/>
                <c:pt idx="0">
                  <c:v>363</c:v>
                </c:pt>
                <c:pt idx="1">
                  <c:v>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61A-4BC7-9DBF-DAB848A04E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[Parking_Utilization_Analysis.xlsx]Event vs Non Event Days!PivotTable5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'Event vs Non Event Days'!$B$3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'Event vs Non Event Days'!$A$4:$A$6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'Event vs Non Event Days'!$B$4:$B$6</c:f>
              <c:numCache>
                <c:formatCode>General</c:formatCode>
                <c:ptCount val="2"/>
                <c:pt idx="0">
                  <c:v>464</c:v>
                </c:pt>
                <c:pt idx="1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C9-4FA0-BE0C-483BEAFFF6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41090400"/>
        <c:axId val="1872693008"/>
      </c:barChart>
      <c:catAx>
        <c:axId val="13410904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2693008"/>
        <c:crosses val="autoZero"/>
        <c:auto val="1"/>
        <c:lblAlgn val="ctr"/>
        <c:lblOffset val="100"/>
        <c:noMultiLvlLbl val="0"/>
      </c:catAx>
      <c:valAx>
        <c:axId val="1872693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1090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1036320</xdr:colOff>
      <xdr:row>10</xdr:row>
      <xdr:rowOff>76200</xdr:rowOff>
    </xdr:from>
    <xdr:to>
      <xdr:col>7</xdr:col>
      <xdr:colOff>594360</xdr:colOff>
      <xdr:row>21</xdr:row>
      <xdr:rowOff>34290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EEF0641-A5EE-C222-C942-AF7795D5FA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243840</xdr:colOff>
      <xdr:row>10</xdr:row>
      <xdr:rowOff>7620</xdr:rowOff>
    </xdr:from>
    <xdr:to>
      <xdr:col>8</xdr:col>
      <xdr:colOff>541020</xdr:colOff>
      <xdr:row>21</xdr:row>
      <xdr:rowOff>34290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F7B7368-A809-DF7A-803A-32D6BA5F1E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1127760</xdr:colOff>
      <xdr:row>9</xdr:row>
      <xdr:rowOff>106680</xdr:rowOff>
    </xdr:from>
    <xdr:to>
      <xdr:col>7</xdr:col>
      <xdr:colOff>563880</xdr:colOff>
      <xdr:row>21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E75338-9884-454B-49DA-5174499100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594360</xdr:colOff>
      <xdr:row>7</xdr:row>
      <xdr:rowOff>83820</xdr:rowOff>
    </xdr:from>
    <xdr:to>
      <xdr:col>7</xdr:col>
      <xdr:colOff>594360</xdr:colOff>
      <xdr:row>21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720E77-0B89-4749-D68B-14E609ABD9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502920</xdr:colOff>
      <xdr:row>7</xdr:row>
      <xdr:rowOff>30480</xdr:rowOff>
    </xdr:from>
    <xdr:to>
      <xdr:col>7</xdr:col>
      <xdr:colOff>594360</xdr:colOff>
      <xdr:row>21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D22E6F-5982-1A31-E1F5-4E5944BA79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224789</xdr:colOff>
      <xdr:row>3</xdr:row>
      <xdr:rowOff>108584</xdr:rowOff>
    </xdr:from>
    <xdr:to>
      <xdr:col>11</xdr:col>
      <xdr:colOff>228600</xdr:colOff>
      <xdr:row>14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D34169-4693-48DF-9E83-2B5631E5C3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3</xdr:row>
      <xdr:rowOff>106680</xdr:rowOff>
    </xdr:from>
    <xdr:to>
      <xdr:col>19</xdr:col>
      <xdr:colOff>129540</xdr:colOff>
      <xdr:row>14</xdr:row>
      <xdr:rowOff>137160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967871B-27EE-4C95-A950-AA65433093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419100</xdr:colOff>
      <xdr:row>3</xdr:row>
      <xdr:rowOff>99059</xdr:rowOff>
    </xdr:from>
    <xdr:to>
      <xdr:col>26</xdr:col>
      <xdr:colOff>7620</xdr:colOff>
      <xdr:row>14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AE5867F-41D9-4ECF-9719-DA7CB7A045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121920</xdr:colOff>
      <xdr:row>15</xdr:row>
      <xdr:rowOff>45721</xdr:rowOff>
    </xdr:from>
    <xdr:to>
      <xdr:col>14</xdr:col>
      <xdr:colOff>205740</xdr:colOff>
      <xdr:row>26</xdr:row>
      <xdr:rowOff>114301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E5423AE-5475-48D4-BEBE-289130E0DB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83820</xdr:colOff>
      <xdr:row>15</xdr:row>
      <xdr:rowOff>45720</xdr:rowOff>
    </xdr:from>
    <xdr:to>
      <xdr:col>22</xdr:col>
      <xdr:colOff>165250</xdr:colOff>
      <xdr:row>25</xdr:row>
      <xdr:rowOff>159565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41CB322-049C-4D01-8E3F-7407D90B46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gu Mar" refreshedDate="46307.51674259259" createdVersion="8" refreshedVersion="8" minRefreshableVersion="3" recordCount="492" xr:uid="{A364E9EF-E576-422C-976C-B98BA8E49F0B}">
  <cacheSource type="worksheet">
    <worksheetSource name="Table1"/>
  </cacheSource>
  <cacheFields count="27">
    <cacheField name="session_id" numFmtId="0">
      <sharedItems/>
    </cacheField>
    <cacheField name="zone" numFmtId="0">
      <sharedItems count="5">
        <s v="Zone E"/>
        <s v="Zone B"/>
        <s v="Zone C"/>
        <s v="Zone D"/>
        <s v="Zone A"/>
      </sharedItems>
    </cacheField>
    <cacheField name="entry" numFmtId="165">
      <sharedItems containsSemiMixedTypes="0" containsNonDate="0" containsDate="1" containsString="0" minDate="2025-01-01T13:20:00" maxDate="2026-05-15T13:26:00" count="492">
        <d v="2025-01-01T13:20:00"/>
        <d v="2025-01-02T07:24:00"/>
        <d v="2025-01-03T17:37:00"/>
        <d v="2025-01-04T20:07:00"/>
        <d v="2025-01-05T20:00:00"/>
        <d v="2025-01-06T12:39:00"/>
        <d v="2025-01-07T10:10:00"/>
        <d v="2025-01-08T06:11:00"/>
        <d v="2025-01-09T12:16:00"/>
        <d v="2025-01-10T14:42:00"/>
        <d v="2025-01-11T19:48:00"/>
        <d v="2025-01-12T10:41:00"/>
        <d v="2025-01-13T22:21:00"/>
        <d v="2025-01-14T08:13:00"/>
        <d v="2025-01-15T13:28:00"/>
        <d v="2025-01-16T20:03:00"/>
        <d v="2025-01-17T16:37:00"/>
        <d v="2025-01-18T20:40:00"/>
        <d v="2025-01-19T18:12:00"/>
        <d v="2025-01-20T19:46:00"/>
        <d v="2025-01-21T22:24:00"/>
        <d v="2025-01-22T22:04:00"/>
        <d v="2025-01-23T21:28:00"/>
        <d v="2025-01-24T06:53:00"/>
        <d v="2025-01-25T11:24:00"/>
        <d v="2025-01-26T06:43:00"/>
        <d v="2025-01-27T20:42:00"/>
        <d v="2025-01-28T17:37:00"/>
        <d v="2025-01-29T08:23:00"/>
        <d v="2025-01-30T17:59:00"/>
        <d v="2025-01-31T21:14:00"/>
        <d v="2025-02-01T06:12:00"/>
        <d v="2026-04-19T08:42:00"/>
        <d v="2025-02-03T18:46:00"/>
        <d v="2025-02-04T06:51:00"/>
        <d v="2025-02-05T10:20:00"/>
        <d v="2025-02-06T17:45:00"/>
        <d v="2025-02-07T08:39:00"/>
        <d v="2025-02-08T17:58:00"/>
        <d v="2025-02-09T22:27:00"/>
        <d v="2025-06-04T13:44:00"/>
        <d v="2025-02-11T13:35:00"/>
        <d v="2025-02-12T22:29:00"/>
        <d v="2025-02-13T21:44:00"/>
        <d v="2025-02-14T08:58:00"/>
        <d v="2025-02-15T15:35:00"/>
        <d v="2025-02-16T09:32:00"/>
        <d v="2025-02-17T18:12:00"/>
        <d v="2025-02-18T11:05:00"/>
        <d v="2025-02-19T20:37:00"/>
        <d v="2025-02-20T18:02:00"/>
        <d v="2025-02-21T07:06:00"/>
        <d v="2025-02-22T08:42:00"/>
        <d v="2025-02-23T18:19:00"/>
        <d v="2025-02-24T14:12:00"/>
        <d v="2025-07-19T09:03:00"/>
        <d v="2025-02-26T11:01:00"/>
        <d v="2025-02-27T22:54:00"/>
        <d v="2025-02-28T13:05:00"/>
        <d v="2025-03-01T13:36:00"/>
        <d v="2025-03-02T12:16:00"/>
        <d v="2025-03-03T16:42:00"/>
        <d v="2025-03-04T18:40:00"/>
        <d v="2025-03-05T06:20:00"/>
        <d v="2025-03-06T09:19:00"/>
        <d v="2025-03-07T20:49:00"/>
        <d v="2025-03-08T16:55:00"/>
        <d v="2025-03-09T13:32:00"/>
        <d v="2025-03-10T13:44:00"/>
        <d v="2025-03-11T19:46:00"/>
        <d v="2025-03-12T21:22:00"/>
        <d v="2025-03-13T12:58:00"/>
        <d v="2025-03-14T10:14:00"/>
        <d v="2025-03-15T16:28:00"/>
        <d v="2025-03-16T17:04:00"/>
        <d v="2025-03-17T19:29:00"/>
        <d v="2025-03-18T10:26:00"/>
        <d v="2025-03-19T14:01:00"/>
        <d v="2025-03-20T10:07:00"/>
        <d v="2025-03-21T19:46:00"/>
        <d v="2025-03-22T16:02:00"/>
        <d v="2025-03-23T21:08:00"/>
        <d v="2025-03-24T06:09:00"/>
        <d v="2025-03-25T13:13:00"/>
        <d v="2025-03-26T22:02:00"/>
        <d v="2025-03-27T21:15:00"/>
        <d v="2025-03-28T14:33:00"/>
        <d v="2025-03-29T13:27:00"/>
        <d v="2025-03-30T12:15:00"/>
        <d v="2025-03-31T18:39:00"/>
        <d v="2025-04-01T10:49:00"/>
        <d v="2025-04-02T08:46:00"/>
        <d v="2025-04-03T11:29:00"/>
        <d v="2026-02-28T17:18:00"/>
        <d v="2025-04-05T17:18:00"/>
        <d v="2025-04-06T08:25:00"/>
        <d v="2025-04-07T17:37:00"/>
        <d v="2025-04-08T17:44:00"/>
        <d v="2025-04-09T06:50:00"/>
        <d v="2025-04-10T11:51:00"/>
        <d v="2025-04-11T15:39:00"/>
        <d v="2025-04-12T12:45:00"/>
        <d v="2025-04-13T22:50:00"/>
        <d v="2025-04-14T09:44:00"/>
        <d v="2025-04-15T08:50:00"/>
        <d v="2025-04-16T08:24:00"/>
        <d v="2025-04-17T21:32:00"/>
        <d v="2025-04-18T19:28:00"/>
        <d v="2025-04-19T18:31:00"/>
        <d v="2025-04-20T11:37:00"/>
        <d v="2025-04-21T11:20:00"/>
        <d v="2025-04-22T06:22:00"/>
        <d v="2025-04-23T14:33:00"/>
        <d v="2025-04-24T11:02:00"/>
        <d v="2025-04-25T15:10:00"/>
        <d v="2025-04-26T22:51:00"/>
        <d v="2025-04-27T15:46:00"/>
        <d v="2025-04-28T20:49:00"/>
        <d v="2025-04-29T20:29:00"/>
        <d v="2025-04-30T17:12:00"/>
        <d v="2025-05-01T11:20:00"/>
        <d v="2025-05-02T22:11:00"/>
        <d v="2025-05-03T18:47:00"/>
        <d v="2025-05-04T16:35:00"/>
        <d v="2025-05-05T15:41:00"/>
        <d v="2025-05-06T17:20:00"/>
        <d v="2025-05-07T07:57:00"/>
        <d v="2025-05-08T15:57:00"/>
        <d v="2025-05-09T22:26:00"/>
        <d v="2025-05-10T10:10:00"/>
        <d v="2025-05-11T13:52:00"/>
        <d v="2025-05-12T18:38:00"/>
        <d v="2025-05-13T17:10:00"/>
        <d v="2025-05-14T20:34:00"/>
        <d v="2025-05-15T13:40:00"/>
        <d v="2025-05-16T15:56:00"/>
        <d v="2025-05-17T08:33:00"/>
        <d v="2025-05-18T14:37:00"/>
        <d v="2025-05-19T08:21:00"/>
        <d v="2025-05-20T10:49:00"/>
        <d v="2025-05-21T14:52:00"/>
        <d v="2025-05-22T08:06:00"/>
        <d v="2025-05-23T21:05:00"/>
        <d v="2025-05-24T18:56:00"/>
        <d v="2025-05-25T12:32:00"/>
        <d v="2025-05-26T09:02:00"/>
        <d v="2025-05-27T08:39:00"/>
        <d v="2025-05-28T07:33:00"/>
        <d v="2025-05-29T17:16:00"/>
        <d v="2025-05-30T16:57:00"/>
        <d v="2025-05-31T07:35:00"/>
        <d v="2025-06-01T21:21:00"/>
        <d v="2025-06-02T06:56:00"/>
        <d v="2025-06-03T17:38:00"/>
        <d v="2025-06-05T14:12:00"/>
        <d v="2025-06-06T08:33:00"/>
        <d v="2025-06-07T18:49:00"/>
        <d v="2025-06-08T10:47:00"/>
        <d v="2025-06-09T22:42:00"/>
        <d v="2025-06-10T20:44:00"/>
        <d v="2025-06-11T21:57:00"/>
        <d v="2025-06-12T07:27:00"/>
        <d v="2025-06-13T14:26:00"/>
        <d v="2025-06-14T15:49:00"/>
        <d v="2025-06-15T16:03:00"/>
        <d v="2025-06-16T08:45:00"/>
        <d v="2025-06-17T22:27:00"/>
        <d v="2025-06-18T06:34:00"/>
        <d v="2025-06-19T14:40:00"/>
        <d v="2025-06-20T16:08:00"/>
        <d v="2025-06-21T06:10:00"/>
        <d v="2025-06-22T13:30:00"/>
        <d v="2025-06-23T14:55:00"/>
        <d v="2025-06-24T19:15:00"/>
        <d v="2025-06-25T10:50:00"/>
        <d v="2025-06-26T13:27:00"/>
        <d v="2025-06-27T10:41:00"/>
        <d v="2025-06-28T07:29:00"/>
        <d v="2025-06-29T15:40:00"/>
        <d v="2025-06-30T07:50:00"/>
        <d v="2025-07-01T18:05:00"/>
        <d v="2025-07-02T13:51:00"/>
        <d v="2025-07-03T18:36:00"/>
        <d v="2025-07-04T15:15:00"/>
        <d v="2025-07-05T18:22:00"/>
        <d v="2025-07-06T10:54:00"/>
        <d v="2025-07-07T19:46:00"/>
        <d v="2025-07-08T22:08:00"/>
        <d v="2025-07-09T10:37:00"/>
        <d v="2025-07-10T22:32:00"/>
        <d v="2025-07-11T20:33:00"/>
        <d v="2025-07-12T20:36:00"/>
        <d v="2025-07-13T06:44:00"/>
        <d v="2025-07-14T06:05:00"/>
        <d v="2025-07-15T16:20:00"/>
        <d v="2025-07-16T16:40:00"/>
        <d v="2025-07-17T18:11:00"/>
        <d v="2025-07-18T12:06:00"/>
        <d v="2025-07-20T06:36:00"/>
        <d v="2025-07-21T09:17:00"/>
        <d v="2025-07-22T09:28:00"/>
        <d v="2025-07-23T16:36:00"/>
        <d v="2025-07-24T22:25:00"/>
        <d v="2025-07-25T14:18:00"/>
        <d v="2025-07-26T20:38:00"/>
        <d v="2025-07-27T11:07:00"/>
        <d v="2025-07-28T14:56:00"/>
        <d v="2025-07-29T12:35:00"/>
        <d v="2025-07-30T09:07:00"/>
        <d v="2025-07-31T11:03:00"/>
        <d v="2025-08-01T06:05:00"/>
        <d v="2025-08-02T20:32:00"/>
        <d v="2025-08-03T22:50:00"/>
        <d v="2025-08-04T13:09:00"/>
        <d v="2025-08-05T14:35:00"/>
        <d v="2025-08-06T13:29:00"/>
        <d v="2025-08-07T17:27:00"/>
        <d v="2025-08-08T07:18:00"/>
        <d v="2025-08-09T21:50:00"/>
        <d v="2025-08-10T16:27:00"/>
        <d v="2025-08-11T20:39:00"/>
        <d v="2025-08-12T19:01:00"/>
        <d v="2025-08-13T12:10:00"/>
        <d v="2025-08-14T14:12:00"/>
        <d v="2025-08-15T19:44:00"/>
        <d v="2025-08-16T21:11:00"/>
        <d v="2025-08-17T19:53:00"/>
        <d v="2025-08-18T08:32:00"/>
        <d v="2025-08-19T17:02:00"/>
        <d v="2025-08-20T11:34:00"/>
        <d v="2025-08-21T06:20:00"/>
        <d v="2025-08-22T12:28:00"/>
        <d v="2025-08-23T09:49:00"/>
        <d v="2025-08-24T10:51:00"/>
        <d v="2025-08-25T18:25:00"/>
        <d v="2025-08-26T20:09:00"/>
        <d v="2025-08-27T06:53:00"/>
        <d v="2025-08-28T20:17:00"/>
        <d v="2025-08-29T19:27:00"/>
        <d v="2025-08-30T11:45:00"/>
        <d v="2025-08-31T20:57:00"/>
        <d v="2025-09-01T11:26:00"/>
        <d v="2025-09-02T13:22:00"/>
        <d v="2025-09-03T12:21:00"/>
        <d v="2025-09-04T12:01:00"/>
        <d v="2025-09-05T21:45:00"/>
        <d v="2025-09-06T09:44:00"/>
        <d v="2025-09-07T21:31:00"/>
        <d v="2025-09-08T12:48:00"/>
        <d v="2025-09-09T08:45:00"/>
        <d v="2025-09-10T08:49:00"/>
        <d v="2025-09-11T16:35:00"/>
        <d v="2025-09-12T13:36:00"/>
        <d v="2025-09-13T22:10:00"/>
        <d v="2025-09-14T18:46:00"/>
        <d v="2025-09-15T11:37:00"/>
        <d v="2025-09-16T08:52:00"/>
        <d v="2025-09-17T21:57:00"/>
        <d v="2025-09-18T18:33:00"/>
        <d v="2025-09-19T19:37:00"/>
        <d v="2025-09-20T21:37:00"/>
        <d v="2025-09-21T08:41:00"/>
        <d v="2025-09-22T07:23:00"/>
        <d v="2025-09-23T17:35:00"/>
        <d v="2025-09-24T16:13:00"/>
        <d v="2025-09-26T08:15:00"/>
        <d v="2025-09-27T18:18:00"/>
        <d v="2025-09-28T10:59:00"/>
        <d v="2025-09-29T13:09:00"/>
        <d v="2025-09-30T20:30:00"/>
        <d v="2025-10-01T21:57:00"/>
        <d v="2025-10-02T22:46:00"/>
        <d v="2025-10-03T09:33:00"/>
        <d v="2025-10-04T22:18:00"/>
        <d v="2025-10-05T19:50:00"/>
        <d v="2025-10-06T17:29:00"/>
        <d v="2025-10-07T22:27:00"/>
        <d v="2025-10-08T20:11:00"/>
        <d v="2025-10-09T14:43:00"/>
        <d v="2025-10-10T06:59:00"/>
        <d v="2025-10-11T19:09:00"/>
        <d v="2025-10-12T18:34:00"/>
        <d v="2025-10-13T09:46:00"/>
        <d v="2025-10-14T22:08:00"/>
        <d v="2025-10-15T11:06:00"/>
        <d v="2025-10-16T19:43:00"/>
        <d v="2025-10-17T19:23:00"/>
        <d v="2025-10-18T19:35:00"/>
        <d v="2025-10-19T12:02:00"/>
        <d v="2025-10-20T14:13:00"/>
        <d v="2025-10-21T17:18:00"/>
        <d v="2025-10-22T11:42:00"/>
        <d v="2025-10-23T07:03:00"/>
        <d v="2025-10-24T21:08:00"/>
        <d v="2025-10-25T19:22:00"/>
        <d v="2025-10-26T14:59:00"/>
        <d v="2025-10-27T11:37:00"/>
        <d v="2025-10-28T16:17:00"/>
        <d v="2025-10-29T20:29:00"/>
        <d v="2025-10-30T08:53:00"/>
        <d v="2025-10-31T20:26:00"/>
        <d v="2025-11-01T15:50:00"/>
        <d v="2025-11-02T11:15:00"/>
        <d v="2025-11-03T14:31:00"/>
        <d v="2025-11-04T08:03:00"/>
        <d v="2025-11-05T10:49:00"/>
        <d v="2025-11-06T21:07:00"/>
        <d v="2025-11-07T09:08:00"/>
        <d v="2025-11-08T11:44:00"/>
        <d v="2025-11-09T14:18:00"/>
        <d v="2025-11-10T06:20:00"/>
        <d v="2025-11-11T09:55:00"/>
        <d v="2025-11-12T14:15:00"/>
        <d v="2025-11-13T07:34:00"/>
        <d v="2025-11-14T18:30:00"/>
        <d v="2025-11-15T06:15:00"/>
        <d v="2025-11-16T06:21:00"/>
        <d v="2025-11-17T08:49:00"/>
        <d v="2025-11-18T13:00:00"/>
        <d v="2025-11-19T14:06:00"/>
        <d v="2025-11-20T17:18:00"/>
        <d v="2025-11-21T06:56:00"/>
        <d v="2025-11-22T17:02:00"/>
        <d v="2025-11-23T14:56:00"/>
        <d v="2025-11-24T19:05:00"/>
        <d v="2025-11-25T12:11:00"/>
        <d v="2025-11-26T11:28:00"/>
        <d v="2025-11-27T14:58:00"/>
        <d v="2025-11-28T15:01:00"/>
        <d v="2025-11-29T14:05:00"/>
        <d v="2025-11-30T14:37:00"/>
        <d v="2025-12-01T07:50:00"/>
        <d v="2025-12-02T11:59:00"/>
        <d v="2025-12-03T22:21:00"/>
        <d v="2025-12-04T11:15:00"/>
        <d v="2025-12-05T09:14:00"/>
        <d v="2025-12-06T20:43:00"/>
        <d v="2025-12-07T20:06:00"/>
        <d v="2025-12-08T21:39:00"/>
        <d v="2025-12-09T17:16:00"/>
        <d v="2025-12-10T20:46:00"/>
        <d v="2025-12-11T10:36:00"/>
        <d v="2025-12-12T15:17:00"/>
        <d v="2025-12-13T12:03:00"/>
        <d v="2025-12-14T21:09:00"/>
        <d v="2025-12-15T16:06:00"/>
        <d v="2025-12-16T22:33:00"/>
        <d v="2025-12-17T19:01:00"/>
        <d v="2025-12-18T14:31:00"/>
        <d v="2025-12-19T08:37:00"/>
        <d v="2025-12-20T18:29:00"/>
        <d v="2025-12-21T16:01:00"/>
        <d v="2025-12-22T20:21:00"/>
        <d v="2025-12-23T18:56:00"/>
        <d v="2025-12-24T09:40:00"/>
        <d v="2025-12-25T10:39:00"/>
        <d v="2025-12-26T09:42:00"/>
        <d v="2025-12-27T22:02:00"/>
        <d v="2025-12-28T08:13:00"/>
        <d v="2025-12-29T13:49:00"/>
        <d v="2025-12-30T14:04:00"/>
        <d v="2025-12-31T22:06:00"/>
        <d v="2026-01-01T19:11:00"/>
        <d v="2026-01-02T18:01:00"/>
        <d v="2026-01-03T12:33:00"/>
        <d v="2026-01-04T12:31:00"/>
        <d v="2026-01-05T19:02:00"/>
        <d v="2026-01-06T15:58:00"/>
        <d v="2026-01-07T14:23:00"/>
        <d v="2026-01-08T12:33:00"/>
        <d v="2026-01-09T15:03:00"/>
        <d v="2026-01-10T08:13:00"/>
        <d v="2026-01-11T22:05:00"/>
        <d v="2026-01-12T09:44:00"/>
        <d v="2026-01-13T14:20:00"/>
        <d v="2026-01-14T07:28:00"/>
        <d v="2026-01-15T17:10:00"/>
        <d v="2026-01-16T08:41:00"/>
        <d v="2026-01-17T18:16:00"/>
        <d v="2026-01-18T21:30:00"/>
        <d v="2026-01-19T12:15:00"/>
        <d v="2026-01-20T11:37:00"/>
        <d v="2026-01-21T18:14:00"/>
        <d v="2026-01-22T12:26:00"/>
        <d v="2026-01-23T08:00:00"/>
        <d v="2026-01-24T09:08:00"/>
        <d v="2026-01-25T20:08:00"/>
        <d v="2026-01-26T14:38:00"/>
        <d v="2026-01-27T19:49:00"/>
        <d v="2026-01-28T13:00:00"/>
        <d v="2026-01-29T22:07:00"/>
        <d v="2026-01-30T19:43:00"/>
        <d v="2026-01-31T19:17:00"/>
        <d v="2026-02-01T22:30:00"/>
        <d v="2026-02-02T09:39:00"/>
        <d v="2026-02-03T13:55:00"/>
        <d v="2026-02-04T11:17:00"/>
        <d v="2026-02-05T17:54:00"/>
        <d v="2026-02-06T21:04:00"/>
        <d v="2026-02-07T17:03:00"/>
        <d v="2026-02-08T22:16:00"/>
        <d v="2026-02-09T12:27:00"/>
        <d v="2026-02-10T14:08:00"/>
        <d v="2026-02-11T11:53:00"/>
        <d v="2026-02-12T09:35:00"/>
        <d v="2026-02-13T10:06:00"/>
        <d v="2026-02-14T18:40:00"/>
        <d v="2026-02-15T21:16:00"/>
        <d v="2026-02-16T16:11:00"/>
        <d v="2026-02-17T08:54:00"/>
        <d v="2026-02-18T19:57:00"/>
        <d v="2026-02-20T12:14:00"/>
        <d v="2026-02-21T21:39:00"/>
        <d v="2026-02-22T21:02:00"/>
        <d v="2026-02-23T11:31:00"/>
        <d v="2026-02-24T12:43:00"/>
        <d v="2026-02-25T15:47:00"/>
        <d v="2026-02-26T09:27:00"/>
        <d v="2026-02-27T11:07:00"/>
        <d v="2026-03-01T17:57:00"/>
        <d v="2026-03-02T21:26:00"/>
        <d v="2026-03-03T15:27:00"/>
        <d v="2026-03-04T15:42:00"/>
        <d v="2026-03-05T12:47:00"/>
        <d v="2026-03-06T17:01:00"/>
        <d v="2026-03-07T10:39:00"/>
        <d v="2026-03-08T15:10:00"/>
        <d v="2026-03-09T21:46:00"/>
        <d v="2026-03-10T22:13:00"/>
        <d v="2026-03-11T18:21:00"/>
        <d v="2026-03-12T18:52:00"/>
        <d v="2026-03-13T06:53:00"/>
        <d v="2026-03-14T16:31:00"/>
        <d v="2026-03-15T17:16:00"/>
        <d v="2026-03-16T19:49:00"/>
        <d v="2026-03-17T20:07:00"/>
        <d v="2026-03-18T19:09:00"/>
        <d v="2026-03-19T17:07:00"/>
        <d v="2026-03-20T09:03:00"/>
        <d v="2026-03-21T10:46:00"/>
        <d v="2026-03-22T19:32:00"/>
        <d v="2026-03-23T20:59:00"/>
        <d v="2026-03-24T10:15:00"/>
        <d v="2026-03-25T18:02:00"/>
        <d v="2026-03-26T16:12:00"/>
        <d v="2026-03-27T12:16:00"/>
        <d v="2026-03-28T16:49:00"/>
        <d v="2026-03-29T17:40:00"/>
        <d v="2026-03-30T19:11:00"/>
        <d v="2026-03-31T06:05:00"/>
        <d v="2026-04-01T06:42:00"/>
        <d v="2026-04-02T21:40:00"/>
        <d v="2026-04-03T15:19:00"/>
        <d v="2026-04-04T14:48:00"/>
        <d v="2026-04-05T10:11:00"/>
        <d v="2026-04-06T16:16:00"/>
        <d v="2026-04-07T16:39:00"/>
        <d v="2026-04-08T08:27:00"/>
        <d v="2026-04-09T07:46:00"/>
        <d v="2026-04-10T11:04:00"/>
        <d v="2026-04-11T10:07:00"/>
        <d v="2026-04-12T08:33:00"/>
        <d v="2026-04-13T15:31:00"/>
        <d v="2026-04-15T14:05:00"/>
        <d v="2026-04-16T19:39:00"/>
        <d v="2026-04-17T18:09:00"/>
        <d v="2026-04-18T14:25:00"/>
        <d v="2026-04-20T16:12:00"/>
        <d v="2026-04-21T07:48:00"/>
        <d v="2026-04-22T18:42:00"/>
        <d v="2026-04-23T18:17:00"/>
        <d v="2026-04-25T21:37:00"/>
        <d v="2026-04-26T11:04:00"/>
        <d v="2026-04-27T20:21:00"/>
        <d v="2026-04-28T11:51:00"/>
        <d v="2026-04-29T09:29:00"/>
        <d v="2026-04-30T21:11:00"/>
        <d v="2026-05-01T18:13:00"/>
        <d v="2026-05-02T15:13:00"/>
        <d v="2026-05-03T16:23:00"/>
        <d v="2026-05-04T19:09:00"/>
        <d v="2026-05-05T19:43:00"/>
        <d v="2026-05-06T08:50:00"/>
        <d v="2026-05-07T07:22:00"/>
        <d v="2026-05-08T21:58:00"/>
        <d v="2026-05-09T13:45:00"/>
        <d v="2026-05-10T06:23:00"/>
        <d v="2026-05-11T20:58:00"/>
        <d v="2026-05-12T18:44:00"/>
        <d v="2026-05-13T17:28:00"/>
        <d v="2026-05-14T09:15:00"/>
        <d v="2026-05-15T13:26:00"/>
      </sharedItems>
      <fieldGroup par="26"/>
    </cacheField>
    <cacheField name="exit" numFmtId="0">
      <sharedItems containsNonDate="0" containsDate="1" containsString="0" containsBlank="1" minDate="2025-01-01T17:11:00" maxDate="2026-05-15T15:03:00"/>
    </cacheField>
    <cacheField name="duration" numFmtId="0">
      <sharedItems containsString="0" containsBlank="1" containsNumber="1" minValue="0.25" maxValue="8"/>
    </cacheField>
    <cacheField name="fee" numFmtId="0">
      <sharedItems containsSemiMixedTypes="0" containsString="0" containsNumber="1" minValue="10" maxValue="135.61000000000001"/>
    </cacheField>
    <cacheField name="exit_missing" numFmtId="0">
      <sharedItems/>
    </cacheField>
    <cacheField name="date" numFmtId="165">
      <sharedItems containsSemiMixedTypes="0" containsNonDate="0" containsDate="1" containsString="0" minDate="2025-01-01T00:00:00" maxDate="2026-05-16T00:00:00"/>
    </cacheField>
    <cacheField name="entry_hour" numFmtId="0">
      <sharedItems containsSemiMixedTypes="0" containsString="0" containsNumber="1" containsInteger="1" minValue="6" maxValue="22" count="17">
        <n v="13"/>
        <n v="7"/>
        <n v="17"/>
        <n v="20"/>
        <n v="12"/>
        <n v="10"/>
        <n v="6"/>
        <n v="14"/>
        <n v="19"/>
        <n v="22"/>
        <n v="8"/>
        <n v="16"/>
        <n v="18"/>
        <n v="21"/>
        <n v="11"/>
        <n v="15"/>
        <n v="9"/>
      </sharedItems>
    </cacheField>
    <cacheField name="day_of_week" numFmtId="0">
      <sharedItems/>
    </cacheField>
    <cacheField name="is_weekend" numFmtId="0">
      <sharedItems containsSemiMixedTypes="0" containsString="0" containsNumber="1" containsInteger="1" minValue="0" maxValue="1"/>
    </cacheField>
    <cacheField name="time_period" numFmtId="0">
      <sharedItems/>
    </cacheField>
    <cacheField name="parking_duration" numFmtId="0">
      <sharedItems containsString="0" containsBlank="1" containsNumber="1" minValue="0.25" maxValue="8"/>
    </cacheField>
    <cacheField name="location" numFmtId="0">
      <sharedItems/>
    </cacheField>
    <cacheField name="capacity" numFmtId="0">
      <sharedItems containsSemiMixedTypes="0" containsString="0" containsNumber="1" containsInteger="1" minValue="50" maxValue="100"/>
    </cacheField>
    <cacheField name="zone_type" numFmtId="0">
      <sharedItems count="4">
        <s v="Recreational"/>
        <s v="Commercial"/>
        <s v="Transit"/>
        <s v="Hospital"/>
      </sharedItems>
    </cacheField>
    <cacheField name="holiday" numFmtId="0">
      <sharedItems containsSemiMixedTypes="0" containsString="0" containsNumber="1" containsInteger="1" minValue="0" maxValue="1"/>
    </cacheField>
    <cacheField name="event" numFmtId="0">
      <sharedItems containsSemiMixedTypes="0" containsString="0" containsNumber="1" containsInteger="1" minValue="0" maxValue="1"/>
    </cacheField>
    <cacheField name="rain" numFmtId="0">
      <sharedItems containsSemiMixedTypes="0" containsString="0" containsNumber="1" containsInteger="1" minValue="0" maxValue="1" count="2">
        <n v="0"/>
        <n v="1"/>
      </sharedItems>
    </cacheField>
    <cacheField name="temperature" numFmtId="0">
      <sharedItems containsSemiMixedTypes="0" containsString="0" containsNumber="1" minValue="20.399999999999999" maxValue="40"/>
    </cacheField>
    <cacheField name="payment_amount" numFmtId="0">
      <sharedItems containsSemiMixedTypes="0" containsString="0" containsNumber="1" minValue="10" maxValue="135.61000000000001"/>
    </cacheField>
    <cacheField name="payment_mode" numFmtId="0">
      <sharedItems/>
    </cacheField>
    <cacheField name="is_event_day" numFmtId="0">
      <sharedItems containsSemiMixedTypes="0" containsString="0" containsNumber="1" containsInteger="1" minValue="0" maxValue="1" count="2">
        <n v="0"/>
        <n v="1"/>
      </sharedItems>
    </cacheField>
    <cacheField name="is_rainy" numFmtId="0">
      <sharedItems/>
    </cacheField>
    <cacheField name="Months (entry)" numFmtId="0" databaseField="0">
      <fieldGroup base="2">
        <rangePr groupBy="months" startDate="2025-01-01T13:20:00" endDate="2026-05-15T13:26:00"/>
        <groupItems count="14">
          <s v="&lt;01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5-05-2026"/>
        </groupItems>
      </fieldGroup>
    </cacheField>
    <cacheField name="Quarters (entry)" numFmtId="0" databaseField="0">
      <fieldGroup base="2">
        <rangePr groupBy="quarters" startDate="2025-01-01T13:20:00" endDate="2026-05-15T13:26:00"/>
        <groupItems count="6">
          <s v="&lt;01-01-2025"/>
          <s v="Qtr1"/>
          <s v="Qtr2"/>
          <s v="Qtr3"/>
          <s v="Qtr4"/>
          <s v="&gt;15-05-2026"/>
        </groupItems>
      </fieldGroup>
    </cacheField>
    <cacheField name="Years (entry)" numFmtId="0" databaseField="0">
      <fieldGroup base="2">
        <rangePr groupBy="years" startDate="2025-01-01T13:20:00" endDate="2026-05-15T13:26:00"/>
        <groupItems count="4">
          <s v="&lt;01-01-2025"/>
          <s v="2025"/>
          <s v="2026"/>
          <s v="&gt;15-05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2">
  <r>
    <s v="S00001"/>
    <x v="0"/>
    <x v="0"/>
    <d v="2025-01-01T17:11:00"/>
    <n v="3.85"/>
    <n v="49.8"/>
    <b v="0"/>
    <d v="2025-01-01T00:00:00"/>
    <x v="0"/>
    <s v="Wednesday"/>
    <n v="0"/>
    <s v="Afternoon"/>
    <n v="3.85"/>
    <s v="Park Avenue"/>
    <n v="70"/>
    <x v="0"/>
    <n v="0"/>
    <n v="0"/>
    <x v="0"/>
    <n v="26.2"/>
    <n v="49.8"/>
    <s v="CASH"/>
    <x v="0"/>
    <s v="No Rain"/>
  </r>
  <r>
    <s v="S00002"/>
    <x v="1"/>
    <x v="1"/>
    <d v="2025-01-02T08:01:00"/>
    <n v="0.6166666666666667"/>
    <n v="10"/>
    <b v="0"/>
    <d v="2025-01-02T00:00:00"/>
    <x v="1"/>
    <s v="Thursday"/>
    <n v="0"/>
    <s v="Morning"/>
    <n v="0.6166666666666667"/>
    <s v="Market Street"/>
    <n v="60"/>
    <x v="1"/>
    <n v="0"/>
    <n v="0"/>
    <x v="0"/>
    <n v="30.9"/>
    <n v="10"/>
    <s v="UPI"/>
    <x v="0"/>
    <s v="No Rain"/>
  </r>
  <r>
    <s v="S00003"/>
    <x v="2"/>
    <x v="2"/>
    <d v="2025-01-03T19:20:00"/>
    <n v="1.716666666666667"/>
    <n v="30.76"/>
    <b v="0"/>
    <d v="2025-01-03T00:00:00"/>
    <x v="2"/>
    <s v="Friday"/>
    <n v="0"/>
    <s v="Evening"/>
    <n v="1.716666666666667"/>
    <s v="Railway Station"/>
    <n v="100"/>
    <x v="2"/>
    <n v="0"/>
    <n v="0"/>
    <x v="0"/>
    <n v="30"/>
    <n v="30.76"/>
    <s v="CARD"/>
    <x v="0"/>
    <s v="No Rain"/>
  </r>
  <r>
    <s v="S00004"/>
    <x v="3"/>
    <x v="3"/>
    <d v="2025-01-04T21:08:00"/>
    <n v="1.0166666666666671"/>
    <n v="28.31"/>
    <b v="0"/>
    <d v="2025-01-04T00:00:00"/>
    <x v="3"/>
    <s v="Saturday"/>
    <n v="1"/>
    <s v="Evening"/>
    <n v="1.0166666666666671"/>
    <s v="Hospital Road"/>
    <n v="50"/>
    <x v="3"/>
    <n v="1"/>
    <n v="0"/>
    <x v="0"/>
    <n v="26.7"/>
    <n v="28.31"/>
    <s v="UPI"/>
    <x v="0"/>
    <s v="No Rain"/>
  </r>
  <r>
    <s v="S00005"/>
    <x v="1"/>
    <x v="4"/>
    <d v="2025-01-05T21:33:00"/>
    <n v="1.55"/>
    <n v="21.41"/>
    <b v="0"/>
    <d v="2025-01-05T00:00:00"/>
    <x v="3"/>
    <s v="Sunday"/>
    <n v="1"/>
    <s v="Evening"/>
    <n v="1.55"/>
    <s v="Market Street"/>
    <n v="60"/>
    <x v="1"/>
    <n v="1"/>
    <n v="1"/>
    <x v="0"/>
    <n v="28"/>
    <n v="21.41"/>
    <s v="UPI"/>
    <x v="1"/>
    <s v="No Rain"/>
  </r>
  <r>
    <s v="S00006"/>
    <x v="1"/>
    <x v="5"/>
    <d v="2025-01-06T15:24:00"/>
    <n v="2.75"/>
    <n v="36.5"/>
    <b v="0"/>
    <d v="2025-01-06T00:00:00"/>
    <x v="4"/>
    <s v="Monday"/>
    <n v="0"/>
    <s v="Afternoon"/>
    <n v="2.75"/>
    <s v="Market Street"/>
    <n v="60"/>
    <x v="1"/>
    <n v="0"/>
    <n v="0"/>
    <x v="0"/>
    <n v="28.8"/>
    <n v="36.5"/>
    <s v="CASH"/>
    <x v="0"/>
    <s v="No Rain"/>
  </r>
  <r>
    <s v="S00007"/>
    <x v="0"/>
    <x v="6"/>
    <d v="2025-01-07T13:54:00"/>
    <n v="3.7333333333333329"/>
    <n v="47.6"/>
    <b v="0"/>
    <d v="2025-01-07T00:00:00"/>
    <x v="5"/>
    <s v="Tuesday"/>
    <n v="0"/>
    <s v="Morning"/>
    <n v="3.7333333333333329"/>
    <s v="Park Avenue"/>
    <n v="70"/>
    <x v="0"/>
    <n v="0"/>
    <n v="0"/>
    <x v="0"/>
    <n v="31.5"/>
    <n v="47.6"/>
    <s v="CARD"/>
    <x v="0"/>
    <s v="No Rain"/>
  </r>
  <r>
    <s v="S00008"/>
    <x v="2"/>
    <x v="7"/>
    <d v="2025-01-08T09:49:00"/>
    <n v="3.6333333333333329"/>
    <n v="49.93"/>
    <b v="0"/>
    <d v="2025-01-08T00:00:00"/>
    <x v="6"/>
    <s v="Wednesday"/>
    <n v="0"/>
    <s v="Morning"/>
    <n v="3.6333333333333329"/>
    <s v="Railway Station"/>
    <n v="100"/>
    <x v="2"/>
    <n v="0"/>
    <n v="0"/>
    <x v="0"/>
    <n v="34"/>
    <n v="49.93"/>
    <s v="CASH"/>
    <x v="0"/>
    <s v="No Rain"/>
  </r>
  <r>
    <s v="S00009"/>
    <x v="3"/>
    <x v="8"/>
    <m/>
    <m/>
    <n v="57.95"/>
    <b v="1"/>
    <d v="2025-01-09T00:00:00"/>
    <x v="4"/>
    <s v="Thursday"/>
    <n v="0"/>
    <s v="Afternoon"/>
    <m/>
    <s v="Hospital Road"/>
    <n v="50"/>
    <x v="3"/>
    <n v="0"/>
    <n v="0"/>
    <x v="1"/>
    <n v="30.7"/>
    <n v="57.95"/>
    <s v="UPI"/>
    <x v="0"/>
    <s v="Rain"/>
  </r>
  <r>
    <s v="S00010"/>
    <x v="4"/>
    <x v="9"/>
    <d v="2025-01-10T14:59:00"/>
    <n v="0.28333333333333333"/>
    <n v="10"/>
    <b v="0"/>
    <d v="2025-01-10T00:00:00"/>
    <x v="7"/>
    <s v="Friday"/>
    <n v="0"/>
    <s v="Afternoon"/>
    <n v="0.28333333333333333"/>
    <s v="City Centre"/>
    <n v="80"/>
    <x v="1"/>
    <n v="0"/>
    <n v="0"/>
    <x v="1"/>
    <n v="27.4"/>
    <n v="10"/>
    <s v="CASH"/>
    <x v="0"/>
    <s v="Rain"/>
  </r>
  <r>
    <s v="S00011"/>
    <x v="1"/>
    <x v="10"/>
    <d v="2025-01-11T22:21:00"/>
    <n v="2.5499999999999998"/>
    <n v="41.51"/>
    <b v="0"/>
    <d v="2025-01-11T00:00:00"/>
    <x v="8"/>
    <s v="Saturday"/>
    <n v="1"/>
    <s v="Evening"/>
    <n v="2.5499999999999998"/>
    <s v="Market Street"/>
    <n v="60"/>
    <x v="1"/>
    <n v="1"/>
    <n v="0"/>
    <x v="0"/>
    <n v="27.4"/>
    <n v="41.51"/>
    <s v="CARD"/>
    <x v="0"/>
    <s v="No Rain"/>
  </r>
  <r>
    <s v="S00012"/>
    <x v="3"/>
    <x v="11"/>
    <d v="2025-01-12T14:16:00"/>
    <n v="3.583333333333333"/>
    <n v="55.17"/>
    <b v="0"/>
    <d v="2025-01-12T00:00:00"/>
    <x v="5"/>
    <s v="Sunday"/>
    <n v="1"/>
    <s v="Morning"/>
    <n v="3.583333333333333"/>
    <s v="Hospital Road"/>
    <n v="50"/>
    <x v="3"/>
    <n v="1"/>
    <n v="1"/>
    <x v="0"/>
    <n v="29.1"/>
    <n v="55.17"/>
    <s v="UPI"/>
    <x v="1"/>
    <s v="No Rain"/>
  </r>
  <r>
    <s v="S00013"/>
    <x v="2"/>
    <x v="12"/>
    <d v="2025-01-14T02:02:00"/>
    <n v="3.6833333333333331"/>
    <n v="46.57"/>
    <b v="0"/>
    <d v="2025-01-13T00:00:00"/>
    <x v="9"/>
    <s v="Monday"/>
    <n v="0"/>
    <s v="Late Night"/>
    <n v="3.6833333333333331"/>
    <s v="Railway Station"/>
    <n v="100"/>
    <x v="2"/>
    <n v="0"/>
    <n v="0"/>
    <x v="0"/>
    <n v="27.9"/>
    <n v="46.57"/>
    <s v="CASH"/>
    <x v="0"/>
    <s v="No Rain"/>
  </r>
  <r>
    <s v="S00014"/>
    <x v="0"/>
    <x v="13"/>
    <d v="2025-01-14T10:57:00"/>
    <n v="2.7333333333333329"/>
    <n v="44.49"/>
    <b v="0"/>
    <d v="2025-01-14T00:00:00"/>
    <x v="10"/>
    <s v="Tuesday"/>
    <n v="0"/>
    <s v="Morning"/>
    <n v="2.7333333333333329"/>
    <s v="Park Avenue"/>
    <n v="70"/>
    <x v="0"/>
    <n v="0"/>
    <n v="0"/>
    <x v="0"/>
    <n v="32.4"/>
    <n v="44.49"/>
    <s v="UPI"/>
    <x v="0"/>
    <s v="No Rain"/>
  </r>
  <r>
    <s v="S00015"/>
    <x v="4"/>
    <x v="14"/>
    <d v="2025-01-15T15:07:00"/>
    <n v="1.65"/>
    <n v="21.76"/>
    <b v="0"/>
    <d v="2025-01-15T00:00:00"/>
    <x v="0"/>
    <s v="Wednesday"/>
    <n v="0"/>
    <s v="Afternoon"/>
    <n v="1.65"/>
    <s v="City Centre"/>
    <n v="80"/>
    <x v="1"/>
    <n v="1"/>
    <n v="0"/>
    <x v="0"/>
    <n v="31"/>
    <n v="21.76"/>
    <s v="UPI"/>
    <x v="0"/>
    <s v="No Rain"/>
  </r>
  <r>
    <s v="S00016"/>
    <x v="1"/>
    <x v="15"/>
    <d v="2025-01-16T22:15:00"/>
    <n v="2.2000000000000002"/>
    <n v="33.85"/>
    <b v="0"/>
    <d v="2025-01-16T00:00:00"/>
    <x v="3"/>
    <s v="Thursday"/>
    <n v="0"/>
    <s v="Evening"/>
    <n v="2.2000000000000002"/>
    <s v="Market Street"/>
    <n v="60"/>
    <x v="1"/>
    <n v="0"/>
    <n v="0"/>
    <x v="0"/>
    <n v="36.1"/>
    <n v="33.85"/>
    <s v="CASH"/>
    <x v="0"/>
    <s v="No Rain"/>
  </r>
  <r>
    <s v="S00017"/>
    <x v="1"/>
    <x v="16"/>
    <d v="2025-01-17T18:44:00"/>
    <n v="2.1166666666666671"/>
    <n v="38.54"/>
    <b v="0"/>
    <d v="2025-01-17T00:00:00"/>
    <x v="11"/>
    <s v="Friday"/>
    <n v="0"/>
    <s v="Afternoon"/>
    <n v="2.1166666666666671"/>
    <s v="Market Street"/>
    <n v="60"/>
    <x v="1"/>
    <n v="0"/>
    <n v="0"/>
    <x v="0"/>
    <n v="28.5"/>
    <n v="38.54"/>
    <s v="UPI"/>
    <x v="0"/>
    <s v="No Rain"/>
  </r>
  <r>
    <s v="S00018"/>
    <x v="2"/>
    <x v="17"/>
    <d v="2025-01-18T22:53:00"/>
    <n v="2.2166666666666668"/>
    <n v="42.92"/>
    <b v="0"/>
    <d v="2025-01-18T00:00:00"/>
    <x v="3"/>
    <s v="Saturday"/>
    <n v="1"/>
    <s v="Evening"/>
    <n v="2.2166666666666668"/>
    <s v="Railway Station"/>
    <n v="100"/>
    <x v="2"/>
    <n v="1"/>
    <n v="0"/>
    <x v="0"/>
    <n v="27.7"/>
    <n v="42.92"/>
    <s v="UPI"/>
    <x v="0"/>
    <s v="No Rain"/>
  </r>
  <r>
    <s v="S00019"/>
    <x v="2"/>
    <x v="18"/>
    <d v="2025-01-19T19:53:00"/>
    <n v="1.6833333333333329"/>
    <n v="30.19"/>
    <b v="0"/>
    <d v="2025-01-19T00:00:00"/>
    <x v="12"/>
    <s v="Sunday"/>
    <n v="1"/>
    <s v="Evening"/>
    <n v="1.6833333333333329"/>
    <s v="Railway Station"/>
    <n v="100"/>
    <x v="2"/>
    <n v="1"/>
    <n v="1"/>
    <x v="0"/>
    <n v="27"/>
    <n v="30.19"/>
    <s v="UPI"/>
    <x v="1"/>
    <s v="No Rain"/>
  </r>
  <r>
    <s v="S00020"/>
    <x v="1"/>
    <x v="19"/>
    <d v="2025-01-20T20:45:00"/>
    <n v="0.98333333333333328"/>
    <n v="10"/>
    <b v="0"/>
    <d v="2025-01-20T00:00:00"/>
    <x v="8"/>
    <s v="Monday"/>
    <n v="0"/>
    <s v="Evening"/>
    <n v="0.98333333333333328"/>
    <s v="Market Street"/>
    <n v="60"/>
    <x v="1"/>
    <n v="0"/>
    <n v="0"/>
    <x v="1"/>
    <n v="30.9"/>
    <n v="10"/>
    <s v="UPI"/>
    <x v="0"/>
    <s v="Rain"/>
  </r>
  <r>
    <s v="S00021"/>
    <x v="0"/>
    <x v="20"/>
    <d v="2025-01-22T00:47:00"/>
    <n v="2.3833333333333329"/>
    <n v="37.68"/>
    <b v="0"/>
    <d v="2025-01-21T00:00:00"/>
    <x v="9"/>
    <s v="Tuesday"/>
    <n v="0"/>
    <s v="Late Night"/>
    <n v="2.3833333333333329"/>
    <s v="Park Avenue"/>
    <n v="70"/>
    <x v="0"/>
    <n v="0"/>
    <n v="0"/>
    <x v="0"/>
    <n v="33.299999999999997"/>
    <n v="37.68"/>
    <s v="UPI"/>
    <x v="0"/>
    <s v="No Rain"/>
  </r>
  <r>
    <s v="S00022"/>
    <x v="1"/>
    <x v="21"/>
    <d v="2025-01-22T23:21:00"/>
    <n v="1.283333333333333"/>
    <n v="32.67"/>
    <b v="0"/>
    <d v="2025-01-22T00:00:00"/>
    <x v="9"/>
    <s v="Wednesday"/>
    <n v="0"/>
    <s v="Late Night"/>
    <n v="1.283333333333333"/>
    <s v="Market Street"/>
    <n v="60"/>
    <x v="1"/>
    <n v="0"/>
    <n v="0"/>
    <x v="0"/>
    <n v="33.5"/>
    <n v="32.67"/>
    <s v="UPI"/>
    <x v="0"/>
    <s v="No Rain"/>
  </r>
  <r>
    <s v="S00023"/>
    <x v="2"/>
    <x v="22"/>
    <d v="2025-01-23T23:29:00"/>
    <n v="2.0166666666666671"/>
    <n v="38.659999999999997"/>
    <b v="0"/>
    <d v="2025-01-23T00:00:00"/>
    <x v="13"/>
    <s v="Thursday"/>
    <n v="0"/>
    <s v="Late Night"/>
    <n v="2.0166666666666671"/>
    <s v="Railway Station"/>
    <n v="100"/>
    <x v="2"/>
    <n v="0"/>
    <n v="0"/>
    <x v="0"/>
    <n v="27.5"/>
    <n v="38.659999999999997"/>
    <s v="CASH"/>
    <x v="0"/>
    <s v="No Rain"/>
  </r>
  <r>
    <s v="S00024"/>
    <x v="1"/>
    <x v="23"/>
    <d v="2025-01-24T08:02:00"/>
    <n v="1.1499999999999999"/>
    <n v="20.87"/>
    <b v="0"/>
    <d v="2025-01-24T00:00:00"/>
    <x v="6"/>
    <s v="Friday"/>
    <n v="0"/>
    <s v="Morning"/>
    <n v="1.1499999999999999"/>
    <s v="Market Street"/>
    <n v="60"/>
    <x v="1"/>
    <n v="0"/>
    <n v="0"/>
    <x v="0"/>
    <n v="30.1"/>
    <n v="20.87"/>
    <s v="CASH"/>
    <x v="0"/>
    <s v="No Rain"/>
  </r>
  <r>
    <s v="S00025"/>
    <x v="3"/>
    <x v="24"/>
    <d v="2025-01-25T15:07:00"/>
    <n v="3.7166666666666668"/>
    <n v="49.76"/>
    <b v="0"/>
    <d v="2025-01-25T00:00:00"/>
    <x v="14"/>
    <s v="Saturday"/>
    <n v="1"/>
    <s v="Morning"/>
    <n v="3.7166666666666668"/>
    <s v="Hospital Road"/>
    <n v="50"/>
    <x v="3"/>
    <n v="1"/>
    <n v="0"/>
    <x v="0"/>
    <n v="27.9"/>
    <n v="49.76"/>
    <s v="UPI"/>
    <x v="0"/>
    <s v="No Rain"/>
  </r>
  <r>
    <s v="S00026"/>
    <x v="0"/>
    <x v="25"/>
    <d v="2025-01-26T10:04:00"/>
    <n v="3.35"/>
    <n v="62.01"/>
    <b v="0"/>
    <d v="2025-01-26T00:00:00"/>
    <x v="6"/>
    <s v="Sunday"/>
    <n v="1"/>
    <s v="Morning"/>
    <n v="3.35"/>
    <s v="Park Avenue"/>
    <n v="70"/>
    <x v="0"/>
    <n v="1"/>
    <n v="1"/>
    <x v="0"/>
    <n v="29.3"/>
    <n v="62.01"/>
    <s v="CASH"/>
    <x v="1"/>
    <s v="No Rain"/>
  </r>
  <r>
    <s v="S00027"/>
    <x v="0"/>
    <x v="26"/>
    <d v="2025-01-27T23:57:00"/>
    <n v="3.25"/>
    <n v="57.71"/>
    <b v="0"/>
    <d v="2025-01-27T00:00:00"/>
    <x v="3"/>
    <s v="Monday"/>
    <n v="0"/>
    <s v="Evening"/>
    <n v="3.25"/>
    <s v="Park Avenue"/>
    <n v="70"/>
    <x v="0"/>
    <n v="0"/>
    <n v="0"/>
    <x v="0"/>
    <n v="33.1"/>
    <n v="57.71"/>
    <s v="CASH"/>
    <x v="0"/>
    <s v="No Rain"/>
  </r>
  <r>
    <s v="S00028"/>
    <x v="4"/>
    <x v="27"/>
    <d v="2025-01-28T18:58:00"/>
    <n v="1.35"/>
    <n v="31.59"/>
    <b v="0"/>
    <d v="2025-01-28T00:00:00"/>
    <x v="2"/>
    <s v="Tuesday"/>
    <n v="0"/>
    <s v="Evening"/>
    <n v="1.35"/>
    <s v="City Centre"/>
    <n v="80"/>
    <x v="1"/>
    <n v="0"/>
    <n v="0"/>
    <x v="0"/>
    <n v="29.4"/>
    <n v="31.59"/>
    <s v="UPI"/>
    <x v="0"/>
    <s v="No Rain"/>
  </r>
  <r>
    <s v="S00029"/>
    <x v="4"/>
    <x v="28"/>
    <d v="2025-01-29T08:56:00"/>
    <n v="0.55000000000000004"/>
    <n v="12.3"/>
    <b v="0"/>
    <d v="2025-01-29T00:00:00"/>
    <x v="10"/>
    <s v="Wednesday"/>
    <n v="0"/>
    <s v="Morning"/>
    <n v="0.55000000000000004"/>
    <s v="City Centre"/>
    <n v="80"/>
    <x v="1"/>
    <n v="0"/>
    <n v="0"/>
    <x v="1"/>
    <n v="26.3"/>
    <n v="12.3"/>
    <s v="UPI"/>
    <x v="0"/>
    <s v="Rain"/>
  </r>
  <r>
    <s v="S00030"/>
    <x v="4"/>
    <x v="29"/>
    <d v="2025-01-30T18:54:00"/>
    <n v="0.91666666666666663"/>
    <n v="10.46"/>
    <b v="0"/>
    <d v="2025-01-30T00:00:00"/>
    <x v="2"/>
    <s v="Thursday"/>
    <n v="0"/>
    <s v="Evening"/>
    <n v="0.91666666666666663"/>
    <s v="City Centre"/>
    <n v="80"/>
    <x v="1"/>
    <n v="0"/>
    <n v="0"/>
    <x v="0"/>
    <n v="29"/>
    <n v="10.46"/>
    <s v="CASH"/>
    <x v="0"/>
    <s v="No Rain"/>
  </r>
  <r>
    <s v="S00031"/>
    <x v="4"/>
    <x v="30"/>
    <d v="2025-02-01T01:21:00"/>
    <n v="4.1166666666666663"/>
    <n v="70.27"/>
    <b v="0"/>
    <d v="2025-01-31T00:00:00"/>
    <x v="13"/>
    <s v="Friday"/>
    <n v="0"/>
    <s v="Late Night"/>
    <n v="4.1166666666666663"/>
    <s v="City Centre"/>
    <n v="80"/>
    <x v="1"/>
    <n v="0"/>
    <n v="0"/>
    <x v="0"/>
    <n v="32.5"/>
    <n v="70.27"/>
    <s v="CARD"/>
    <x v="0"/>
    <s v="No Rain"/>
  </r>
  <r>
    <s v="S00032"/>
    <x v="2"/>
    <x v="31"/>
    <d v="2025-02-01T08:37:00"/>
    <n v="2.416666666666667"/>
    <n v="36.26"/>
    <b v="0"/>
    <d v="2025-02-01T00:00:00"/>
    <x v="6"/>
    <s v="Saturday"/>
    <n v="1"/>
    <s v="Morning"/>
    <n v="2.416666666666667"/>
    <s v="Railway Station"/>
    <n v="100"/>
    <x v="2"/>
    <n v="1"/>
    <n v="0"/>
    <x v="0"/>
    <n v="25"/>
    <n v="36.26"/>
    <s v="CASH"/>
    <x v="0"/>
    <s v="No Rain"/>
  </r>
  <r>
    <s v="S00033"/>
    <x v="4"/>
    <x v="32"/>
    <d v="2026-04-19T09:08:00"/>
    <n v="0.43333333333333329"/>
    <n v="12.57"/>
    <b v="0"/>
    <d v="2026-04-19T00:00:00"/>
    <x v="10"/>
    <s v="Sunday"/>
    <n v="1"/>
    <s v="Morning"/>
    <n v="0.43333333333333329"/>
    <s v="City Centre"/>
    <n v="80"/>
    <x v="1"/>
    <n v="1"/>
    <n v="1"/>
    <x v="0"/>
    <n v="29.8"/>
    <n v="12.57"/>
    <s v="UPI"/>
    <x v="1"/>
    <s v="No Rain"/>
  </r>
  <r>
    <s v="S00034"/>
    <x v="2"/>
    <x v="33"/>
    <d v="2025-02-03T19:55:00"/>
    <n v="1.1499999999999999"/>
    <n v="20.059999999999999"/>
    <b v="0"/>
    <d v="2025-02-03T00:00:00"/>
    <x v="12"/>
    <s v="Monday"/>
    <n v="0"/>
    <s v="Evening"/>
    <n v="1.1499999999999999"/>
    <s v="Railway Station"/>
    <n v="100"/>
    <x v="2"/>
    <n v="0"/>
    <n v="0"/>
    <x v="0"/>
    <n v="28.1"/>
    <n v="20.059999999999999"/>
    <s v="UPI"/>
    <x v="0"/>
    <s v="No Rain"/>
  </r>
  <r>
    <s v="S00035"/>
    <x v="4"/>
    <x v="34"/>
    <d v="2025-02-04T10:47:00"/>
    <n v="3.9333333333333331"/>
    <n v="51.14"/>
    <b v="0"/>
    <d v="2025-02-04T00:00:00"/>
    <x v="6"/>
    <s v="Tuesday"/>
    <n v="0"/>
    <s v="Morning"/>
    <n v="3.9333333333333331"/>
    <s v="City Centre"/>
    <n v="80"/>
    <x v="1"/>
    <n v="0"/>
    <n v="0"/>
    <x v="0"/>
    <n v="32.799999999999997"/>
    <n v="51.14"/>
    <s v="CASH"/>
    <x v="0"/>
    <s v="No Rain"/>
  </r>
  <r>
    <s v="S00036"/>
    <x v="1"/>
    <x v="35"/>
    <d v="2025-02-05T11:05:00"/>
    <n v="0.75"/>
    <n v="10"/>
    <b v="0"/>
    <d v="2025-02-05T00:00:00"/>
    <x v="5"/>
    <s v="Wednesday"/>
    <n v="0"/>
    <s v="Morning"/>
    <n v="0.75"/>
    <s v="Market Street"/>
    <n v="60"/>
    <x v="1"/>
    <n v="0"/>
    <n v="0"/>
    <x v="0"/>
    <n v="32.299999999999997"/>
    <n v="10"/>
    <s v="CARD"/>
    <x v="0"/>
    <s v="No Rain"/>
  </r>
  <r>
    <s v="S00037"/>
    <x v="2"/>
    <x v="36"/>
    <d v="2025-02-06T20:47:00"/>
    <n v="3.0333333333333332"/>
    <n v="56.98"/>
    <b v="0"/>
    <d v="2025-02-06T00:00:00"/>
    <x v="2"/>
    <s v="Thursday"/>
    <n v="0"/>
    <s v="Evening"/>
    <n v="3.0333333333333332"/>
    <s v="Railway Station"/>
    <n v="100"/>
    <x v="2"/>
    <n v="0"/>
    <n v="0"/>
    <x v="0"/>
    <n v="27"/>
    <n v="56.98"/>
    <s v="UPI"/>
    <x v="0"/>
    <s v="No Rain"/>
  </r>
  <r>
    <s v="S00038"/>
    <x v="1"/>
    <x v="37"/>
    <d v="2025-02-07T14:04:00"/>
    <n v="5.416666666666667"/>
    <n v="85.54"/>
    <b v="0"/>
    <d v="2025-02-07T00:00:00"/>
    <x v="10"/>
    <s v="Friday"/>
    <n v="0"/>
    <s v="Morning"/>
    <n v="5.416666666666667"/>
    <s v="Market Street"/>
    <n v="60"/>
    <x v="1"/>
    <n v="0"/>
    <n v="0"/>
    <x v="0"/>
    <n v="36.1"/>
    <n v="85.54"/>
    <s v="UPI"/>
    <x v="0"/>
    <s v="No Rain"/>
  </r>
  <r>
    <s v="S00039"/>
    <x v="1"/>
    <x v="38"/>
    <d v="2025-02-08T18:54:00"/>
    <n v="0.93333333333333335"/>
    <n v="13.02"/>
    <b v="0"/>
    <d v="2025-02-08T00:00:00"/>
    <x v="2"/>
    <s v="Saturday"/>
    <n v="1"/>
    <s v="Evening"/>
    <n v="0.93333333333333335"/>
    <s v="Market Street"/>
    <n v="60"/>
    <x v="1"/>
    <n v="1"/>
    <n v="0"/>
    <x v="0"/>
    <n v="27.4"/>
    <n v="13.02"/>
    <s v="CASH"/>
    <x v="0"/>
    <s v="No Rain"/>
  </r>
  <r>
    <s v="S00040"/>
    <x v="4"/>
    <x v="39"/>
    <d v="2025-02-10T05:08:00"/>
    <n v="6.6833333333333336"/>
    <n v="98.71"/>
    <b v="0"/>
    <d v="2025-02-09T00:00:00"/>
    <x v="9"/>
    <s v="Sunday"/>
    <n v="1"/>
    <s v="Late Night"/>
    <n v="6.6833333333333336"/>
    <s v="City Centre"/>
    <n v="80"/>
    <x v="1"/>
    <n v="1"/>
    <n v="0"/>
    <x v="0"/>
    <n v="26.9"/>
    <n v="98.71"/>
    <s v="UPI"/>
    <x v="0"/>
    <s v="No Rain"/>
  </r>
  <r>
    <s v="S00041"/>
    <x v="3"/>
    <x v="40"/>
    <d v="2025-06-04T15:40:00"/>
    <n v="1.9333333333333329"/>
    <n v="34"/>
    <b v="0"/>
    <d v="2025-06-04T00:00:00"/>
    <x v="0"/>
    <s v="Wednesday"/>
    <n v="0"/>
    <s v="Afternoon"/>
    <n v="1.9333333333333329"/>
    <s v="Hospital Road"/>
    <n v="50"/>
    <x v="3"/>
    <n v="0"/>
    <n v="0"/>
    <x v="0"/>
    <n v="28.6"/>
    <n v="34"/>
    <s v="UPI"/>
    <x v="0"/>
    <s v="No Rain"/>
  </r>
  <r>
    <s v="S00042"/>
    <x v="3"/>
    <x v="41"/>
    <d v="2025-02-11T15:32:00"/>
    <n v="1.95"/>
    <n v="28.45"/>
    <b v="0"/>
    <d v="2025-02-11T00:00:00"/>
    <x v="0"/>
    <s v="Tuesday"/>
    <n v="0"/>
    <s v="Afternoon"/>
    <n v="1.95"/>
    <s v="Hospital Road"/>
    <n v="50"/>
    <x v="3"/>
    <n v="0"/>
    <n v="0"/>
    <x v="1"/>
    <n v="29.1"/>
    <n v="28.45"/>
    <s v="CASH"/>
    <x v="0"/>
    <s v="Rain"/>
  </r>
  <r>
    <s v="S00043"/>
    <x v="3"/>
    <x v="42"/>
    <d v="2025-02-13T00:31:00"/>
    <n v="2.0333333333333332"/>
    <n v="43.31"/>
    <b v="0"/>
    <d v="2025-02-12T00:00:00"/>
    <x v="9"/>
    <s v="Wednesday"/>
    <n v="0"/>
    <s v="Late Night"/>
    <n v="2.0333333333333332"/>
    <s v="Hospital Road"/>
    <n v="50"/>
    <x v="3"/>
    <n v="0"/>
    <n v="0"/>
    <x v="0"/>
    <n v="32.799999999999997"/>
    <n v="43.31"/>
    <s v="UPI"/>
    <x v="0"/>
    <s v="No Rain"/>
  </r>
  <r>
    <s v="S00044"/>
    <x v="4"/>
    <x v="43"/>
    <d v="2025-02-14T01:00:00"/>
    <n v="3.2666666666666671"/>
    <n v="50.66"/>
    <b v="0"/>
    <d v="2025-02-13T00:00:00"/>
    <x v="13"/>
    <s v="Thursday"/>
    <n v="0"/>
    <s v="Late Night"/>
    <n v="3.2666666666666671"/>
    <s v="City Centre"/>
    <n v="80"/>
    <x v="1"/>
    <n v="0"/>
    <n v="0"/>
    <x v="1"/>
    <n v="26.6"/>
    <n v="50.66"/>
    <s v="CASH"/>
    <x v="0"/>
    <s v="Rain"/>
  </r>
  <r>
    <s v="S00045"/>
    <x v="3"/>
    <x v="44"/>
    <d v="2025-02-14T11:12:00"/>
    <n v="2.2333333333333329"/>
    <n v="42.58"/>
    <b v="0"/>
    <d v="2025-02-14T00:00:00"/>
    <x v="10"/>
    <s v="Friday"/>
    <n v="0"/>
    <s v="Morning"/>
    <n v="2.2333333333333329"/>
    <s v="Hospital Road"/>
    <n v="50"/>
    <x v="3"/>
    <n v="0"/>
    <n v="0"/>
    <x v="0"/>
    <n v="31.5"/>
    <n v="42.58"/>
    <s v="UPI"/>
    <x v="0"/>
    <s v="No Rain"/>
  </r>
  <r>
    <s v="S00046"/>
    <x v="2"/>
    <x v="45"/>
    <m/>
    <m/>
    <n v="17.059999999999999"/>
    <b v="1"/>
    <d v="2025-02-15T00:00:00"/>
    <x v="15"/>
    <s v="Saturday"/>
    <n v="1"/>
    <s v="Afternoon"/>
    <m/>
    <s v="Railway Station"/>
    <n v="100"/>
    <x v="2"/>
    <n v="1"/>
    <n v="0"/>
    <x v="0"/>
    <n v="24.6"/>
    <n v="17.059999999999999"/>
    <s v="UPI"/>
    <x v="0"/>
    <s v="No Rain"/>
  </r>
  <r>
    <s v="S00047"/>
    <x v="4"/>
    <x v="46"/>
    <d v="2025-02-16T10:42:00"/>
    <n v="1.166666666666667"/>
    <n v="26.32"/>
    <b v="0"/>
    <d v="2025-02-16T00:00:00"/>
    <x v="16"/>
    <s v="Sunday"/>
    <n v="1"/>
    <s v="Morning"/>
    <n v="1.166666666666667"/>
    <s v="City Centre"/>
    <n v="80"/>
    <x v="1"/>
    <n v="1"/>
    <n v="0"/>
    <x v="0"/>
    <n v="29.8"/>
    <n v="26.32"/>
    <s v="UPI"/>
    <x v="0"/>
    <s v="No Rain"/>
  </r>
  <r>
    <s v="S00048"/>
    <x v="1"/>
    <x v="47"/>
    <d v="2025-02-17T20:20:00"/>
    <n v="2.1333333333333329"/>
    <n v="41.53"/>
    <b v="0"/>
    <d v="2025-02-17T00:00:00"/>
    <x v="12"/>
    <s v="Monday"/>
    <n v="0"/>
    <s v="Evening"/>
    <n v="2.1333333333333329"/>
    <s v="Market Street"/>
    <n v="60"/>
    <x v="1"/>
    <n v="0"/>
    <n v="0"/>
    <x v="1"/>
    <n v="34.200000000000003"/>
    <n v="41.53"/>
    <s v="CARD"/>
    <x v="0"/>
    <s v="Rain"/>
  </r>
  <r>
    <s v="S00049"/>
    <x v="4"/>
    <x v="48"/>
    <d v="2025-02-18T12:05:00"/>
    <n v="1"/>
    <n v="31.68"/>
    <b v="0"/>
    <d v="2025-02-18T00:00:00"/>
    <x v="14"/>
    <s v="Tuesday"/>
    <n v="0"/>
    <s v="Morning"/>
    <n v="1"/>
    <s v="City Centre"/>
    <n v="80"/>
    <x v="1"/>
    <n v="0"/>
    <n v="0"/>
    <x v="1"/>
    <n v="35"/>
    <n v="31.68"/>
    <s v="UPI"/>
    <x v="0"/>
    <s v="Rain"/>
  </r>
  <r>
    <s v="S00050"/>
    <x v="2"/>
    <x v="49"/>
    <d v="2025-02-19T23:52:00"/>
    <n v="3.25"/>
    <n v="53.56"/>
    <b v="0"/>
    <d v="2025-02-19T00:00:00"/>
    <x v="3"/>
    <s v="Wednesday"/>
    <n v="0"/>
    <s v="Evening"/>
    <n v="3.25"/>
    <s v="Railway Station"/>
    <n v="100"/>
    <x v="2"/>
    <n v="0"/>
    <n v="0"/>
    <x v="0"/>
    <n v="31.4"/>
    <n v="53.56"/>
    <s v="UPI"/>
    <x v="0"/>
    <s v="No Rain"/>
  </r>
  <r>
    <s v="S00051"/>
    <x v="3"/>
    <x v="50"/>
    <d v="2025-02-20T19:37:00"/>
    <n v="1.583333333333333"/>
    <n v="22.38"/>
    <b v="0"/>
    <d v="2025-02-20T00:00:00"/>
    <x v="12"/>
    <s v="Thursday"/>
    <n v="0"/>
    <s v="Evening"/>
    <n v="1.583333333333333"/>
    <s v="Hospital Road"/>
    <n v="50"/>
    <x v="3"/>
    <n v="0"/>
    <n v="0"/>
    <x v="0"/>
    <n v="24.4"/>
    <n v="22.38"/>
    <s v="UPI"/>
    <x v="0"/>
    <s v="No Rain"/>
  </r>
  <r>
    <s v="S00052"/>
    <x v="2"/>
    <x v="51"/>
    <d v="2025-02-21T08:18:00"/>
    <n v="1.2"/>
    <n v="21.7"/>
    <b v="0"/>
    <d v="2025-02-21T00:00:00"/>
    <x v="1"/>
    <s v="Friday"/>
    <n v="0"/>
    <s v="Morning"/>
    <n v="1.2"/>
    <s v="Railway Station"/>
    <n v="100"/>
    <x v="2"/>
    <n v="0"/>
    <n v="0"/>
    <x v="0"/>
    <n v="36.799999999999997"/>
    <n v="21.7"/>
    <s v="CARD"/>
    <x v="0"/>
    <s v="No Rain"/>
  </r>
  <r>
    <s v="S00053"/>
    <x v="1"/>
    <x v="52"/>
    <d v="2025-02-22T10:47:00"/>
    <n v="2.083333333333333"/>
    <n v="37.68"/>
    <b v="0"/>
    <d v="2025-02-22T00:00:00"/>
    <x v="10"/>
    <s v="Saturday"/>
    <n v="1"/>
    <s v="Morning"/>
    <n v="2.083333333333333"/>
    <s v="Market Street"/>
    <n v="60"/>
    <x v="1"/>
    <n v="1"/>
    <n v="0"/>
    <x v="0"/>
    <n v="29.9"/>
    <n v="37.68"/>
    <s v="CASH"/>
    <x v="0"/>
    <s v="No Rain"/>
  </r>
  <r>
    <s v="S00054"/>
    <x v="2"/>
    <x v="53"/>
    <d v="2025-02-23T20:25:00"/>
    <n v="2.1"/>
    <n v="47.83"/>
    <b v="0"/>
    <d v="2025-02-23T00:00:00"/>
    <x v="12"/>
    <s v="Sunday"/>
    <n v="1"/>
    <s v="Evening"/>
    <n v="2.1"/>
    <s v="Railway Station"/>
    <n v="100"/>
    <x v="2"/>
    <n v="1"/>
    <n v="0"/>
    <x v="0"/>
    <n v="27.5"/>
    <n v="47.83"/>
    <s v="UPI"/>
    <x v="0"/>
    <s v="No Rain"/>
  </r>
  <r>
    <s v="S00055"/>
    <x v="2"/>
    <x v="54"/>
    <d v="2025-02-24T15:38:00"/>
    <n v="1.4333333333333329"/>
    <n v="32.99"/>
    <b v="0"/>
    <d v="2025-02-24T00:00:00"/>
    <x v="7"/>
    <s v="Monday"/>
    <n v="0"/>
    <s v="Afternoon"/>
    <n v="1.4333333333333329"/>
    <s v="Railway Station"/>
    <n v="100"/>
    <x v="2"/>
    <n v="0"/>
    <n v="0"/>
    <x v="0"/>
    <n v="26.8"/>
    <n v="32.99"/>
    <s v="UPI"/>
    <x v="0"/>
    <s v="No Rain"/>
  </r>
  <r>
    <s v="S00056"/>
    <x v="4"/>
    <x v="55"/>
    <d v="2025-07-19T09:41:00"/>
    <n v="0.6333333333333333"/>
    <n v="15.98"/>
    <b v="0"/>
    <d v="2025-07-19T00:00:00"/>
    <x v="16"/>
    <s v="Saturday"/>
    <n v="1"/>
    <s v="Morning"/>
    <n v="0.6333333333333333"/>
    <s v="City Centre"/>
    <n v="80"/>
    <x v="1"/>
    <n v="1"/>
    <n v="1"/>
    <x v="0"/>
    <n v="34.6"/>
    <n v="15.98"/>
    <s v="UPI"/>
    <x v="1"/>
    <s v="No Rain"/>
  </r>
  <r>
    <s v="S00057"/>
    <x v="3"/>
    <x v="56"/>
    <d v="2025-02-26T12:03:00"/>
    <n v="1.033333333333333"/>
    <n v="32.840000000000003"/>
    <b v="0"/>
    <d v="2025-02-26T00:00:00"/>
    <x v="14"/>
    <s v="Wednesday"/>
    <n v="0"/>
    <s v="Morning"/>
    <n v="1.033333333333333"/>
    <s v="Hospital Road"/>
    <n v="50"/>
    <x v="3"/>
    <n v="0"/>
    <n v="0"/>
    <x v="0"/>
    <n v="30.5"/>
    <n v="32.840000000000003"/>
    <s v="UPI"/>
    <x v="0"/>
    <s v="No Rain"/>
  </r>
  <r>
    <s v="S00058"/>
    <x v="1"/>
    <x v="57"/>
    <d v="2025-02-28T00:55:00"/>
    <n v="2.0166666666666671"/>
    <n v="38.97"/>
    <b v="0"/>
    <d v="2025-02-27T00:00:00"/>
    <x v="9"/>
    <s v="Thursday"/>
    <n v="0"/>
    <s v="Late Night"/>
    <n v="2.0166666666666671"/>
    <s v="Market Street"/>
    <n v="60"/>
    <x v="1"/>
    <n v="0"/>
    <n v="0"/>
    <x v="1"/>
    <n v="27.2"/>
    <n v="38.97"/>
    <s v="UPI"/>
    <x v="0"/>
    <s v="Rain"/>
  </r>
  <r>
    <s v="S00059"/>
    <x v="0"/>
    <x v="58"/>
    <d v="2025-02-28T16:29:00"/>
    <n v="3.4"/>
    <n v="48.07"/>
    <b v="0"/>
    <d v="2025-02-28T00:00:00"/>
    <x v="0"/>
    <s v="Friday"/>
    <n v="0"/>
    <s v="Afternoon"/>
    <n v="3.4"/>
    <s v="Park Avenue"/>
    <n v="70"/>
    <x v="0"/>
    <n v="0"/>
    <n v="0"/>
    <x v="1"/>
    <n v="25.6"/>
    <n v="48.07"/>
    <s v="UPI"/>
    <x v="0"/>
    <s v="Rain"/>
  </r>
  <r>
    <s v="S00060"/>
    <x v="0"/>
    <x v="59"/>
    <d v="2025-03-01T15:35:00"/>
    <n v="1.9833333333333329"/>
    <n v="28.8"/>
    <b v="0"/>
    <d v="2025-03-01T00:00:00"/>
    <x v="0"/>
    <s v="Saturday"/>
    <n v="1"/>
    <s v="Afternoon"/>
    <n v="1.9833333333333329"/>
    <s v="Park Avenue"/>
    <n v="70"/>
    <x v="0"/>
    <n v="1"/>
    <n v="0"/>
    <x v="1"/>
    <n v="31.3"/>
    <n v="28.8"/>
    <s v="CASH"/>
    <x v="0"/>
    <s v="Rain"/>
  </r>
  <r>
    <s v="S00061"/>
    <x v="0"/>
    <x v="60"/>
    <d v="2025-03-02T12:31:00"/>
    <n v="0.25"/>
    <n v="18.7"/>
    <b v="0"/>
    <d v="2025-03-02T00:00:00"/>
    <x v="4"/>
    <s v="Sunday"/>
    <n v="1"/>
    <s v="Afternoon"/>
    <n v="0.25"/>
    <s v="Park Avenue"/>
    <n v="70"/>
    <x v="0"/>
    <n v="1"/>
    <n v="0"/>
    <x v="1"/>
    <n v="30.5"/>
    <n v="18.7"/>
    <s v="CASH"/>
    <x v="0"/>
    <s v="Rain"/>
  </r>
  <r>
    <s v="S00062"/>
    <x v="1"/>
    <x v="61"/>
    <d v="2025-03-03T20:34:00"/>
    <n v="3.8666666666666671"/>
    <n v="57.56"/>
    <b v="0"/>
    <d v="2025-03-03T00:00:00"/>
    <x v="11"/>
    <s v="Monday"/>
    <n v="0"/>
    <s v="Afternoon"/>
    <n v="3.8666666666666671"/>
    <s v="Market Street"/>
    <n v="60"/>
    <x v="1"/>
    <n v="0"/>
    <n v="0"/>
    <x v="0"/>
    <n v="30.6"/>
    <n v="57.56"/>
    <s v="UPI"/>
    <x v="0"/>
    <s v="No Rain"/>
  </r>
  <r>
    <s v="S00063"/>
    <x v="1"/>
    <x v="62"/>
    <d v="2025-03-05T02:40:00"/>
    <n v="8"/>
    <n v="128.22"/>
    <b v="0"/>
    <d v="2025-03-04T00:00:00"/>
    <x v="12"/>
    <s v="Tuesday"/>
    <n v="0"/>
    <s v="Evening"/>
    <n v="8"/>
    <s v="Market Street"/>
    <n v="60"/>
    <x v="1"/>
    <n v="0"/>
    <n v="0"/>
    <x v="0"/>
    <n v="31.8"/>
    <n v="128.22"/>
    <s v="UPI"/>
    <x v="0"/>
    <s v="No Rain"/>
  </r>
  <r>
    <s v="S00064"/>
    <x v="3"/>
    <x v="63"/>
    <d v="2025-03-05T06:54:00"/>
    <n v="0.56666666666666665"/>
    <n v="12.97"/>
    <b v="0"/>
    <d v="2025-03-05T00:00:00"/>
    <x v="6"/>
    <s v="Wednesday"/>
    <n v="0"/>
    <s v="Morning"/>
    <n v="0.56666666666666665"/>
    <s v="Hospital Road"/>
    <n v="50"/>
    <x v="3"/>
    <n v="0"/>
    <n v="0"/>
    <x v="1"/>
    <n v="27.4"/>
    <n v="12.97"/>
    <s v="UPI"/>
    <x v="0"/>
    <s v="Rain"/>
  </r>
  <r>
    <s v="S00065"/>
    <x v="2"/>
    <x v="64"/>
    <d v="2025-03-06T10:50:00"/>
    <n v="1.5166666666666671"/>
    <n v="29.35"/>
    <b v="0"/>
    <d v="2025-03-06T00:00:00"/>
    <x v="16"/>
    <s v="Thursday"/>
    <n v="0"/>
    <s v="Morning"/>
    <n v="1.5166666666666671"/>
    <s v="Railway Station"/>
    <n v="100"/>
    <x v="2"/>
    <n v="0"/>
    <n v="0"/>
    <x v="0"/>
    <n v="30.9"/>
    <n v="29.35"/>
    <s v="CASH"/>
    <x v="0"/>
    <s v="No Rain"/>
  </r>
  <r>
    <s v="S00066"/>
    <x v="0"/>
    <x v="65"/>
    <d v="2025-03-07T21:52:00"/>
    <n v="1.05"/>
    <n v="22.62"/>
    <b v="0"/>
    <d v="2025-03-07T00:00:00"/>
    <x v="3"/>
    <s v="Friday"/>
    <n v="0"/>
    <s v="Evening"/>
    <n v="1.05"/>
    <s v="Park Avenue"/>
    <n v="70"/>
    <x v="0"/>
    <n v="0"/>
    <n v="0"/>
    <x v="0"/>
    <n v="28.3"/>
    <n v="22.62"/>
    <s v="CARD"/>
    <x v="0"/>
    <s v="No Rain"/>
  </r>
  <r>
    <s v="S00067"/>
    <x v="0"/>
    <x v="66"/>
    <d v="2025-03-08T19:34:00"/>
    <n v="2.65"/>
    <n v="37.93"/>
    <b v="0"/>
    <d v="2025-03-08T00:00:00"/>
    <x v="11"/>
    <s v="Saturday"/>
    <n v="1"/>
    <s v="Afternoon"/>
    <n v="2.65"/>
    <s v="Park Avenue"/>
    <n v="70"/>
    <x v="0"/>
    <n v="1"/>
    <n v="0"/>
    <x v="0"/>
    <n v="27.7"/>
    <n v="37.93"/>
    <s v="UPI"/>
    <x v="0"/>
    <s v="No Rain"/>
  </r>
  <r>
    <s v="S00068"/>
    <x v="4"/>
    <x v="67"/>
    <d v="2025-03-09T17:11:00"/>
    <n v="3.65"/>
    <n v="59.42"/>
    <b v="0"/>
    <d v="2025-03-09T00:00:00"/>
    <x v="0"/>
    <s v="Sunday"/>
    <n v="1"/>
    <s v="Afternoon"/>
    <n v="3.65"/>
    <s v="City Centre"/>
    <n v="80"/>
    <x v="1"/>
    <n v="1"/>
    <n v="0"/>
    <x v="0"/>
    <n v="28.4"/>
    <n v="59.42"/>
    <s v="UPI"/>
    <x v="0"/>
    <s v="No Rain"/>
  </r>
  <r>
    <s v="S00069"/>
    <x v="0"/>
    <x v="68"/>
    <d v="2025-03-10T16:59:00"/>
    <n v="3.25"/>
    <n v="52.02"/>
    <b v="0"/>
    <d v="2025-03-10T00:00:00"/>
    <x v="0"/>
    <s v="Monday"/>
    <n v="0"/>
    <s v="Afternoon"/>
    <n v="3.25"/>
    <s v="Park Avenue"/>
    <n v="70"/>
    <x v="0"/>
    <n v="0"/>
    <n v="0"/>
    <x v="0"/>
    <n v="32.299999999999997"/>
    <n v="52.02"/>
    <s v="UPI"/>
    <x v="0"/>
    <s v="No Rain"/>
  </r>
  <r>
    <s v="S00070"/>
    <x v="4"/>
    <x v="69"/>
    <d v="2025-03-12T01:48:00"/>
    <n v="6.0333333333333332"/>
    <n v="100.55"/>
    <b v="0"/>
    <d v="2025-03-11T00:00:00"/>
    <x v="8"/>
    <s v="Tuesday"/>
    <n v="0"/>
    <s v="Evening"/>
    <n v="6.0333333333333332"/>
    <s v="City Centre"/>
    <n v="80"/>
    <x v="1"/>
    <n v="0"/>
    <n v="0"/>
    <x v="0"/>
    <n v="30.5"/>
    <n v="100.55"/>
    <s v="UPI"/>
    <x v="0"/>
    <s v="No Rain"/>
  </r>
  <r>
    <s v="S00071"/>
    <x v="0"/>
    <x v="70"/>
    <d v="2025-03-12T23:14:00"/>
    <n v="1.8666666666666669"/>
    <n v="25.44"/>
    <b v="0"/>
    <d v="2025-03-12T00:00:00"/>
    <x v="13"/>
    <s v="Wednesday"/>
    <n v="0"/>
    <s v="Late Night"/>
    <n v="1.8666666666666669"/>
    <s v="Park Avenue"/>
    <n v="70"/>
    <x v="0"/>
    <n v="0"/>
    <n v="0"/>
    <x v="1"/>
    <n v="25.2"/>
    <n v="25.44"/>
    <s v="CASH"/>
    <x v="0"/>
    <s v="Rain"/>
  </r>
  <r>
    <s v="S00072"/>
    <x v="4"/>
    <x v="71"/>
    <d v="2025-03-13T13:24:00"/>
    <n v="0.43333333333333329"/>
    <n v="13.72"/>
    <b v="0"/>
    <d v="2025-03-13T00:00:00"/>
    <x v="4"/>
    <s v="Thursday"/>
    <n v="0"/>
    <s v="Afternoon"/>
    <n v="0.43333333333333329"/>
    <s v="City Centre"/>
    <n v="80"/>
    <x v="1"/>
    <n v="0"/>
    <n v="0"/>
    <x v="1"/>
    <n v="26.2"/>
    <n v="13.72"/>
    <s v="CASH"/>
    <x v="0"/>
    <s v="Rain"/>
  </r>
  <r>
    <s v="S00073"/>
    <x v="1"/>
    <x v="72"/>
    <d v="2025-03-14T13:15:00"/>
    <n v="3.0166666666666671"/>
    <n v="56.42"/>
    <b v="0"/>
    <d v="2025-03-14T00:00:00"/>
    <x v="5"/>
    <s v="Friday"/>
    <n v="0"/>
    <s v="Morning"/>
    <n v="3.0166666666666671"/>
    <s v="Market Street"/>
    <n v="60"/>
    <x v="1"/>
    <n v="0"/>
    <n v="0"/>
    <x v="0"/>
    <n v="27.4"/>
    <n v="56.42"/>
    <s v="CASH"/>
    <x v="0"/>
    <s v="No Rain"/>
  </r>
  <r>
    <s v="S00074"/>
    <x v="0"/>
    <x v="73"/>
    <d v="2025-03-15T18:41:00"/>
    <n v="2.2166666666666668"/>
    <n v="42.28"/>
    <b v="0"/>
    <d v="2025-03-15T00:00:00"/>
    <x v="11"/>
    <s v="Saturday"/>
    <n v="1"/>
    <s v="Afternoon"/>
    <n v="2.2166666666666668"/>
    <s v="Park Avenue"/>
    <n v="70"/>
    <x v="0"/>
    <n v="1"/>
    <n v="0"/>
    <x v="0"/>
    <n v="30.3"/>
    <n v="42.28"/>
    <s v="CASH"/>
    <x v="0"/>
    <s v="No Rain"/>
  </r>
  <r>
    <s v="S00075"/>
    <x v="3"/>
    <x v="74"/>
    <d v="2025-03-16T18:52:00"/>
    <n v="1.8"/>
    <n v="31.94"/>
    <b v="0"/>
    <d v="2025-03-16T00:00:00"/>
    <x v="2"/>
    <s v="Sunday"/>
    <n v="1"/>
    <s v="Evening"/>
    <n v="1.8"/>
    <s v="Hospital Road"/>
    <n v="50"/>
    <x v="3"/>
    <n v="1"/>
    <n v="0"/>
    <x v="0"/>
    <n v="26.5"/>
    <n v="31.94"/>
    <s v="CARD"/>
    <x v="0"/>
    <s v="No Rain"/>
  </r>
  <r>
    <s v="S00076"/>
    <x v="4"/>
    <x v="75"/>
    <d v="2025-03-17T20:42:00"/>
    <n v="1.216666666666667"/>
    <n v="25.08"/>
    <b v="0"/>
    <d v="2025-03-17T00:00:00"/>
    <x v="8"/>
    <s v="Monday"/>
    <n v="0"/>
    <s v="Evening"/>
    <n v="1.216666666666667"/>
    <s v="City Centre"/>
    <n v="80"/>
    <x v="1"/>
    <n v="0"/>
    <n v="0"/>
    <x v="0"/>
    <n v="31.6"/>
    <n v="25.08"/>
    <s v="UPI"/>
    <x v="0"/>
    <s v="No Rain"/>
  </r>
  <r>
    <s v="S00077"/>
    <x v="2"/>
    <x v="76"/>
    <d v="2025-03-18T14:30:00"/>
    <n v="4.0666666666666664"/>
    <n v="64.47"/>
    <b v="0"/>
    <d v="2025-03-18T00:00:00"/>
    <x v="5"/>
    <s v="Tuesday"/>
    <n v="0"/>
    <s v="Morning"/>
    <n v="4.0666666666666664"/>
    <s v="Railway Station"/>
    <n v="100"/>
    <x v="2"/>
    <n v="0"/>
    <n v="0"/>
    <x v="0"/>
    <n v="30.1"/>
    <n v="64.47"/>
    <s v="UPI"/>
    <x v="0"/>
    <s v="No Rain"/>
  </r>
  <r>
    <s v="S00078"/>
    <x v="1"/>
    <x v="77"/>
    <d v="2025-03-19T14:45:00"/>
    <n v="0.73333333333333328"/>
    <n v="10.61"/>
    <b v="0"/>
    <d v="2025-03-19T00:00:00"/>
    <x v="7"/>
    <s v="Wednesday"/>
    <n v="0"/>
    <s v="Afternoon"/>
    <n v="0.73333333333333328"/>
    <s v="Market Street"/>
    <n v="60"/>
    <x v="1"/>
    <n v="0"/>
    <n v="0"/>
    <x v="0"/>
    <n v="31.6"/>
    <n v="10.61"/>
    <s v="UPI"/>
    <x v="0"/>
    <s v="No Rain"/>
  </r>
  <r>
    <s v="S00079"/>
    <x v="2"/>
    <x v="78"/>
    <m/>
    <m/>
    <n v="11.36"/>
    <b v="1"/>
    <d v="2025-03-20T00:00:00"/>
    <x v="5"/>
    <s v="Thursday"/>
    <n v="0"/>
    <s v="Morning"/>
    <m/>
    <s v="Railway Station"/>
    <n v="100"/>
    <x v="2"/>
    <n v="0"/>
    <n v="0"/>
    <x v="0"/>
    <n v="33.700000000000003"/>
    <n v="11.36"/>
    <s v="CASH"/>
    <x v="0"/>
    <s v="No Rain"/>
  </r>
  <r>
    <s v="S00080"/>
    <x v="3"/>
    <x v="79"/>
    <d v="2025-03-21T21:20:00"/>
    <n v="1.5666666666666671"/>
    <n v="18.87"/>
    <b v="0"/>
    <d v="2025-03-21T00:00:00"/>
    <x v="8"/>
    <s v="Friday"/>
    <n v="0"/>
    <s v="Evening"/>
    <n v="1.5666666666666671"/>
    <s v="Hospital Road"/>
    <n v="50"/>
    <x v="3"/>
    <n v="0"/>
    <n v="0"/>
    <x v="0"/>
    <n v="30.4"/>
    <n v="18.87"/>
    <s v="UPI"/>
    <x v="0"/>
    <s v="No Rain"/>
  </r>
  <r>
    <s v="S00081"/>
    <x v="1"/>
    <x v="80"/>
    <d v="2025-03-22T17:39:00"/>
    <n v="1.6166666666666669"/>
    <n v="29.74"/>
    <b v="0"/>
    <d v="2025-03-22T00:00:00"/>
    <x v="11"/>
    <s v="Saturday"/>
    <n v="1"/>
    <s v="Afternoon"/>
    <n v="1.6166666666666669"/>
    <s v="Market Street"/>
    <n v="60"/>
    <x v="1"/>
    <n v="1"/>
    <n v="0"/>
    <x v="0"/>
    <n v="32.9"/>
    <n v="29.74"/>
    <s v="UPI"/>
    <x v="0"/>
    <s v="No Rain"/>
  </r>
  <r>
    <s v="S00082"/>
    <x v="0"/>
    <x v="81"/>
    <d v="2025-03-23T22:51:00"/>
    <n v="1.716666666666667"/>
    <n v="23.81"/>
    <b v="0"/>
    <d v="2025-03-23T00:00:00"/>
    <x v="13"/>
    <s v="Sunday"/>
    <n v="1"/>
    <s v="Late Night"/>
    <n v="1.716666666666667"/>
    <s v="Park Avenue"/>
    <n v="70"/>
    <x v="0"/>
    <n v="1"/>
    <n v="0"/>
    <x v="0"/>
    <n v="29.5"/>
    <n v="23.81"/>
    <s v="CARD"/>
    <x v="0"/>
    <s v="No Rain"/>
  </r>
  <r>
    <s v="S00083"/>
    <x v="2"/>
    <x v="82"/>
    <d v="2025-03-24T09:41:00"/>
    <n v="3.5333333333333332"/>
    <n v="49.84"/>
    <b v="0"/>
    <d v="2025-03-24T00:00:00"/>
    <x v="6"/>
    <s v="Monday"/>
    <n v="0"/>
    <s v="Morning"/>
    <n v="3.5333333333333332"/>
    <s v="Railway Station"/>
    <n v="100"/>
    <x v="2"/>
    <n v="0"/>
    <n v="0"/>
    <x v="0"/>
    <n v="31.5"/>
    <n v="49.84"/>
    <s v="CASH"/>
    <x v="0"/>
    <s v="No Rain"/>
  </r>
  <r>
    <s v="S00084"/>
    <x v="1"/>
    <x v="83"/>
    <d v="2025-03-25T15:01:00"/>
    <n v="1.8"/>
    <n v="27.19"/>
    <b v="0"/>
    <d v="2025-03-25T00:00:00"/>
    <x v="0"/>
    <s v="Tuesday"/>
    <n v="0"/>
    <s v="Afternoon"/>
    <n v="1.8"/>
    <s v="Market Street"/>
    <n v="60"/>
    <x v="1"/>
    <n v="0"/>
    <n v="0"/>
    <x v="1"/>
    <n v="30.9"/>
    <n v="27.19"/>
    <s v="CASH"/>
    <x v="0"/>
    <s v="Rain"/>
  </r>
  <r>
    <s v="S00085"/>
    <x v="0"/>
    <x v="84"/>
    <d v="2025-03-26T23:31:00"/>
    <n v="1.4833333333333329"/>
    <n v="23.88"/>
    <b v="0"/>
    <d v="2025-03-26T00:00:00"/>
    <x v="9"/>
    <s v="Wednesday"/>
    <n v="0"/>
    <s v="Late Night"/>
    <n v="1.4833333333333329"/>
    <s v="Park Avenue"/>
    <n v="70"/>
    <x v="0"/>
    <n v="0"/>
    <n v="0"/>
    <x v="0"/>
    <n v="34.799999999999997"/>
    <n v="23.88"/>
    <s v="CARD"/>
    <x v="0"/>
    <s v="No Rain"/>
  </r>
  <r>
    <s v="S00086"/>
    <x v="2"/>
    <x v="85"/>
    <d v="2025-03-27T22:59:00"/>
    <n v="1.7333333333333329"/>
    <n v="26.58"/>
    <b v="0"/>
    <d v="2025-03-27T00:00:00"/>
    <x v="13"/>
    <s v="Thursday"/>
    <n v="0"/>
    <s v="Late Night"/>
    <n v="1.7333333333333329"/>
    <s v="Railway Station"/>
    <n v="100"/>
    <x v="2"/>
    <n v="0"/>
    <n v="0"/>
    <x v="1"/>
    <n v="22.2"/>
    <n v="26.58"/>
    <s v="UPI"/>
    <x v="0"/>
    <s v="Rain"/>
  </r>
  <r>
    <s v="S00087"/>
    <x v="0"/>
    <x v="86"/>
    <d v="2025-03-28T19:47:00"/>
    <n v="5.2333333333333334"/>
    <n v="84.82"/>
    <b v="0"/>
    <d v="2025-03-28T00:00:00"/>
    <x v="7"/>
    <s v="Friday"/>
    <n v="0"/>
    <s v="Afternoon"/>
    <n v="5.2333333333333334"/>
    <s v="Park Avenue"/>
    <n v="70"/>
    <x v="0"/>
    <n v="0"/>
    <n v="0"/>
    <x v="0"/>
    <n v="34.1"/>
    <n v="84.82"/>
    <s v="UPI"/>
    <x v="0"/>
    <s v="No Rain"/>
  </r>
  <r>
    <s v="S00088"/>
    <x v="1"/>
    <x v="87"/>
    <d v="2025-03-29T14:06:00"/>
    <n v="0.65"/>
    <n v="10"/>
    <b v="0"/>
    <d v="2025-03-29T00:00:00"/>
    <x v="0"/>
    <s v="Saturday"/>
    <n v="1"/>
    <s v="Afternoon"/>
    <n v="0.65"/>
    <s v="Market Street"/>
    <n v="60"/>
    <x v="1"/>
    <n v="1"/>
    <n v="0"/>
    <x v="0"/>
    <n v="30.6"/>
    <n v="10"/>
    <s v="CARD"/>
    <x v="0"/>
    <s v="No Rain"/>
  </r>
  <r>
    <s v="S00089"/>
    <x v="4"/>
    <x v="88"/>
    <d v="2025-03-30T14:08:00"/>
    <n v="1.8833333333333331"/>
    <n v="19.37"/>
    <b v="0"/>
    <d v="2025-03-30T00:00:00"/>
    <x v="4"/>
    <s v="Sunday"/>
    <n v="1"/>
    <s v="Afternoon"/>
    <n v="1.8833333333333331"/>
    <s v="City Centre"/>
    <n v="80"/>
    <x v="1"/>
    <n v="1"/>
    <n v="0"/>
    <x v="1"/>
    <n v="32"/>
    <n v="19.37"/>
    <s v="CASH"/>
    <x v="0"/>
    <s v="Rain"/>
  </r>
  <r>
    <s v="S00090"/>
    <x v="0"/>
    <x v="89"/>
    <d v="2025-03-31T20:55:00"/>
    <n v="2.2666666666666671"/>
    <n v="40.61"/>
    <b v="0"/>
    <d v="2025-03-31T00:00:00"/>
    <x v="12"/>
    <s v="Monday"/>
    <n v="0"/>
    <s v="Evening"/>
    <n v="2.2666666666666671"/>
    <s v="Park Avenue"/>
    <n v="70"/>
    <x v="0"/>
    <n v="0"/>
    <n v="0"/>
    <x v="1"/>
    <n v="32.1"/>
    <n v="40.61"/>
    <s v="CARD"/>
    <x v="0"/>
    <s v="Rain"/>
  </r>
  <r>
    <s v="S00091"/>
    <x v="0"/>
    <x v="90"/>
    <d v="2025-04-01T12:15:00"/>
    <n v="1.4333333333333329"/>
    <n v="27.71"/>
    <b v="0"/>
    <d v="2025-04-01T00:00:00"/>
    <x v="5"/>
    <s v="Tuesday"/>
    <n v="0"/>
    <s v="Morning"/>
    <n v="1.4333333333333329"/>
    <s v="Park Avenue"/>
    <n v="70"/>
    <x v="0"/>
    <n v="0"/>
    <n v="0"/>
    <x v="0"/>
    <n v="34.1"/>
    <n v="27.71"/>
    <s v="CASH"/>
    <x v="0"/>
    <s v="No Rain"/>
  </r>
  <r>
    <s v="S00092"/>
    <x v="4"/>
    <x v="91"/>
    <d v="2025-04-02T12:22:00"/>
    <n v="3.6"/>
    <n v="57.55"/>
    <b v="0"/>
    <d v="2025-04-02T00:00:00"/>
    <x v="10"/>
    <s v="Wednesday"/>
    <n v="0"/>
    <s v="Morning"/>
    <n v="3.6"/>
    <s v="City Centre"/>
    <n v="80"/>
    <x v="1"/>
    <n v="0"/>
    <n v="0"/>
    <x v="0"/>
    <n v="26.3"/>
    <n v="57.55"/>
    <s v="UPI"/>
    <x v="0"/>
    <s v="No Rain"/>
  </r>
  <r>
    <s v="S00093"/>
    <x v="3"/>
    <x v="92"/>
    <d v="2025-04-03T14:00:00"/>
    <n v="2.5166666666666671"/>
    <n v="42.45"/>
    <b v="0"/>
    <d v="2025-04-03T00:00:00"/>
    <x v="14"/>
    <s v="Thursday"/>
    <n v="0"/>
    <s v="Morning"/>
    <n v="2.5166666666666671"/>
    <s v="Hospital Road"/>
    <n v="50"/>
    <x v="3"/>
    <n v="0"/>
    <n v="0"/>
    <x v="0"/>
    <n v="23.8"/>
    <n v="42.45"/>
    <s v="UPI"/>
    <x v="0"/>
    <s v="No Rain"/>
  </r>
  <r>
    <s v="S00094"/>
    <x v="0"/>
    <x v="93"/>
    <d v="2026-02-28T20:36:00"/>
    <n v="3.3"/>
    <n v="52"/>
    <b v="0"/>
    <d v="2026-02-28T00:00:00"/>
    <x v="2"/>
    <s v="Saturday"/>
    <n v="1"/>
    <s v="Evening"/>
    <n v="3.3"/>
    <s v="Park Avenue"/>
    <n v="70"/>
    <x v="0"/>
    <n v="1"/>
    <n v="0"/>
    <x v="0"/>
    <n v="28.5"/>
    <n v="52"/>
    <s v="CARD"/>
    <x v="0"/>
    <s v="No Rain"/>
  </r>
  <r>
    <s v="S00095"/>
    <x v="1"/>
    <x v="94"/>
    <d v="2025-04-05T18:43:00"/>
    <n v="1.416666666666667"/>
    <n v="27.5"/>
    <b v="0"/>
    <d v="2025-04-05T00:00:00"/>
    <x v="2"/>
    <s v="Saturday"/>
    <n v="1"/>
    <s v="Evening"/>
    <n v="1.416666666666667"/>
    <s v="Market Street"/>
    <n v="60"/>
    <x v="1"/>
    <n v="1"/>
    <n v="1"/>
    <x v="0"/>
    <n v="33.9"/>
    <n v="27.5"/>
    <s v="UPI"/>
    <x v="1"/>
    <s v="No Rain"/>
  </r>
  <r>
    <s v="S00096"/>
    <x v="2"/>
    <x v="95"/>
    <d v="2025-04-06T11:27:00"/>
    <n v="3.0333333333333332"/>
    <n v="56.75"/>
    <b v="0"/>
    <d v="2025-04-06T00:00:00"/>
    <x v="10"/>
    <s v="Sunday"/>
    <n v="1"/>
    <s v="Morning"/>
    <n v="3.0333333333333332"/>
    <s v="Railway Station"/>
    <n v="100"/>
    <x v="2"/>
    <n v="1"/>
    <n v="0"/>
    <x v="1"/>
    <n v="21.6"/>
    <n v="56.75"/>
    <s v="CARD"/>
    <x v="0"/>
    <s v="Rain"/>
  </r>
  <r>
    <s v="S00097"/>
    <x v="4"/>
    <x v="96"/>
    <d v="2025-04-07T20:53:00"/>
    <n v="3.2666666666666671"/>
    <n v="49.82"/>
    <b v="0"/>
    <d v="2025-04-07T00:00:00"/>
    <x v="2"/>
    <s v="Monday"/>
    <n v="0"/>
    <s v="Evening"/>
    <n v="3.2666666666666671"/>
    <s v="City Centre"/>
    <n v="80"/>
    <x v="1"/>
    <n v="0"/>
    <n v="0"/>
    <x v="0"/>
    <n v="35.299999999999997"/>
    <n v="49.82"/>
    <s v="UPI"/>
    <x v="0"/>
    <s v="No Rain"/>
  </r>
  <r>
    <s v="S00098"/>
    <x v="4"/>
    <x v="97"/>
    <d v="2025-04-08T18:24:00"/>
    <n v="0.66666666666666663"/>
    <n v="13.99"/>
    <b v="0"/>
    <d v="2025-04-08T00:00:00"/>
    <x v="2"/>
    <s v="Tuesday"/>
    <n v="0"/>
    <s v="Evening"/>
    <n v="0.66666666666666663"/>
    <s v="City Centre"/>
    <n v="80"/>
    <x v="1"/>
    <n v="0"/>
    <n v="0"/>
    <x v="0"/>
    <n v="27.9"/>
    <n v="13.99"/>
    <s v="UPI"/>
    <x v="0"/>
    <s v="No Rain"/>
  </r>
  <r>
    <s v="S00099"/>
    <x v="0"/>
    <x v="98"/>
    <d v="2025-04-09T10:36:00"/>
    <n v="3.7666666666666671"/>
    <n v="58.94"/>
    <b v="0"/>
    <d v="2025-04-09T00:00:00"/>
    <x v="6"/>
    <s v="Wednesday"/>
    <n v="0"/>
    <s v="Morning"/>
    <n v="3.7666666666666671"/>
    <s v="Park Avenue"/>
    <n v="70"/>
    <x v="0"/>
    <n v="0"/>
    <n v="0"/>
    <x v="0"/>
    <n v="30"/>
    <n v="58.94"/>
    <s v="CARD"/>
    <x v="0"/>
    <s v="No Rain"/>
  </r>
  <r>
    <s v="S00100"/>
    <x v="0"/>
    <x v="99"/>
    <d v="2025-04-10T18:11:00"/>
    <n v="6.333333333333333"/>
    <n v="91.36"/>
    <b v="0"/>
    <d v="2025-04-10T00:00:00"/>
    <x v="14"/>
    <s v="Thursday"/>
    <n v="0"/>
    <s v="Morning"/>
    <n v="6.333333333333333"/>
    <s v="Park Avenue"/>
    <n v="70"/>
    <x v="0"/>
    <n v="0"/>
    <n v="0"/>
    <x v="0"/>
    <n v="34.9"/>
    <n v="91.36"/>
    <s v="CASH"/>
    <x v="0"/>
    <s v="No Rain"/>
  </r>
  <r>
    <s v="S00101"/>
    <x v="1"/>
    <x v="100"/>
    <d v="2025-04-11T21:31:00"/>
    <n v="5.8666666666666663"/>
    <n v="83.08"/>
    <b v="0"/>
    <d v="2025-04-11T00:00:00"/>
    <x v="15"/>
    <s v="Friday"/>
    <n v="0"/>
    <s v="Afternoon"/>
    <n v="5.8666666666666663"/>
    <s v="Market Street"/>
    <n v="60"/>
    <x v="1"/>
    <n v="0"/>
    <n v="0"/>
    <x v="0"/>
    <n v="33.200000000000003"/>
    <n v="83.08"/>
    <s v="CASH"/>
    <x v="0"/>
    <s v="No Rain"/>
  </r>
  <r>
    <s v="S00102"/>
    <x v="4"/>
    <x v="101"/>
    <d v="2025-04-12T14:38:00"/>
    <n v="1.8833333333333331"/>
    <n v="23.84"/>
    <b v="0"/>
    <d v="2025-04-12T00:00:00"/>
    <x v="4"/>
    <s v="Saturday"/>
    <n v="1"/>
    <s v="Afternoon"/>
    <n v="1.8833333333333331"/>
    <s v="City Centre"/>
    <n v="80"/>
    <x v="1"/>
    <n v="1"/>
    <n v="1"/>
    <x v="0"/>
    <n v="32.299999999999997"/>
    <n v="23.84"/>
    <s v="CARD"/>
    <x v="1"/>
    <s v="No Rain"/>
  </r>
  <r>
    <s v="S00103"/>
    <x v="2"/>
    <x v="102"/>
    <d v="2025-04-13T23:55:00"/>
    <n v="1.083333333333333"/>
    <n v="21.99"/>
    <b v="0"/>
    <d v="2025-04-13T00:00:00"/>
    <x v="9"/>
    <s v="Sunday"/>
    <n v="1"/>
    <s v="Late Night"/>
    <n v="1.083333333333333"/>
    <s v="Railway Station"/>
    <n v="100"/>
    <x v="2"/>
    <n v="1"/>
    <n v="0"/>
    <x v="1"/>
    <n v="30.4"/>
    <n v="21.99"/>
    <s v="UPI"/>
    <x v="0"/>
    <s v="Rain"/>
  </r>
  <r>
    <s v="S00104"/>
    <x v="2"/>
    <x v="103"/>
    <d v="2025-04-14T12:06:00"/>
    <n v="2.3666666666666671"/>
    <n v="38.36"/>
    <b v="0"/>
    <d v="2025-04-14T00:00:00"/>
    <x v="16"/>
    <s v="Monday"/>
    <n v="0"/>
    <s v="Morning"/>
    <n v="2.3666666666666671"/>
    <s v="Railway Station"/>
    <n v="100"/>
    <x v="2"/>
    <n v="0"/>
    <n v="0"/>
    <x v="0"/>
    <n v="29.8"/>
    <n v="38.36"/>
    <s v="CARD"/>
    <x v="0"/>
    <s v="No Rain"/>
  </r>
  <r>
    <s v="S00105"/>
    <x v="4"/>
    <x v="104"/>
    <d v="2025-04-15T12:28:00"/>
    <n v="3.6333333333333329"/>
    <n v="50.48"/>
    <b v="0"/>
    <d v="2025-04-15T00:00:00"/>
    <x v="10"/>
    <s v="Tuesday"/>
    <n v="0"/>
    <s v="Morning"/>
    <n v="3.6333333333333329"/>
    <s v="City Centre"/>
    <n v="80"/>
    <x v="1"/>
    <n v="0"/>
    <n v="0"/>
    <x v="0"/>
    <n v="30.6"/>
    <n v="50.48"/>
    <s v="UPI"/>
    <x v="0"/>
    <s v="No Rain"/>
  </r>
  <r>
    <s v="S00106"/>
    <x v="4"/>
    <x v="105"/>
    <d v="2025-04-16T10:54:00"/>
    <n v="2.5"/>
    <n v="38.090000000000003"/>
    <b v="0"/>
    <d v="2025-04-16T00:00:00"/>
    <x v="10"/>
    <s v="Wednesday"/>
    <n v="0"/>
    <s v="Morning"/>
    <n v="2.5"/>
    <s v="City Centre"/>
    <n v="80"/>
    <x v="1"/>
    <n v="0"/>
    <n v="0"/>
    <x v="1"/>
    <n v="34.5"/>
    <n v="38.090000000000003"/>
    <s v="CARD"/>
    <x v="0"/>
    <s v="Rain"/>
  </r>
  <r>
    <s v="S00107"/>
    <x v="2"/>
    <x v="106"/>
    <d v="2025-04-17T23:49:00"/>
    <n v="2.2833333333333332"/>
    <n v="36.799999999999997"/>
    <b v="0"/>
    <d v="2025-04-17T00:00:00"/>
    <x v="13"/>
    <s v="Thursday"/>
    <n v="0"/>
    <s v="Late Night"/>
    <n v="2.2833333333333332"/>
    <s v="Railway Station"/>
    <n v="100"/>
    <x v="2"/>
    <n v="0"/>
    <n v="0"/>
    <x v="1"/>
    <n v="29"/>
    <n v="36.799999999999997"/>
    <s v="CASH"/>
    <x v="0"/>
    <s v="Rain"/>
  </r>
  <r>
    <s v="S00108"/>
    <x v="4"/>
    <x v="107"/>
    <d v="2025-04-18T22:00:00"/>
    <n v="2.5333333333333332"/>
    <n v="36.880000000000003"/>
    <b v="0"/>
    <d v="2025-04-18T00:00:00"/>
    <x v="8"/>
    <s v="Friday"/>
    <n v="0"/>
    <s v="Evening"/>
    <n v="2.5333333333333332"/>
    <s v="City Centre"/>
    <n v="80"/>
    <x v="1"/>
    <n v="0"/>
    <n v="0"/>
    <x v="0"/>
    <n v="28.8"/>
    <n v="36.880000000000003"/>
    <s v="UPI"/>
    <x v="0"/>
    <s v="No Rain"/>
  </r>
  <r>
    <s v="S00109"/>
    <x v="1"/>
    <x v="108"/>
    <d v="2025-04-19T18:58:00"/>
    <n v="0.45"/>
    <n v="10.99"/>
    <b v="0"/>
    <d v="2025-04-19T00:00:00"/>
    <x v="12"/>
    <s v="Saturday"/>
    <n v="1"/>
    <s v="Evening"/>
    <n v="0.45"/>
    <s v="Market Street"/>
    <n v="60"/>
    <x v="1"/>
    <n v="1"/>
    <n v="1"/>
    <x v="0"/>
    <n v="28.6"/>
    <n v="10.99"/>
    <s v="CASH"/>
    <x v="1"/>
    <s v="No Rain"/>
  </r>
  <r>
    <s v="S00110"/>
    <x v="3"/>
    <x v="109"/>
    <d v="2025-04-20T17:35:00"/>
    <n v="5.9666666666666668"/>
    <n v="84.89"/>
    <b v="0"/>
    <d v="2025-04-20T00:00:00"/>
    <x v="14"/>
    <s v="Sunday"/>
    <n v="1"/>
    <s v="Morning"/>
    <n v="5.9666666666666668"/>
    <s v="Hospital Road"/>
    <n v="50"/>
    <x v="3"/>
    <n v="1"/>
    <n v="0"/>
    <x v="1"/>
    <n v="28.9"/>
    <n v="84.89"/>
    <s v="CARD"/>
    <x v="0"/>
    <s v="Rain"/>
  </r>
  <r>
    <s v="S00111"/>
    <x v="3"/>
    <x v="110"/>
    <d v="2025-04-21T13:01:00"/>
    <n v="1.6833333333333329"/>
    <n v="29.71"/>
    <b v="0"/>
    <d v="2025-04-21T00:00:00"/>
    <x v="14"/>
    <s v="Monday"/>
    <n v="0"/>
    <s v="Morning"/>
    <n v="1.6833333333333329"/>
    <s v="Hospital Road"/>
    <n v="50"/>
    <x v="3"/>
    <n v="0"/>
    <n v="0"/>
    <x v="0"/>
    <n v="32.299999999999997"/>
    <n v="29.71"/>
    <s v="UPI"/>
    <x v="0"/>
    <s v="No Rain"/>
  </r>
  <r>
    <s v="S00112"/>
    <x v="0"/>
    <x v="111"/>
    <d v="2025-04-22T08:50:00"/>
    <n v="2.4666666666666668"/>
    <n v="35.17"/>
    <b v="0"/>
    <d v="2025-04-22T00:00:00"/>
    <x v="6"/>
    <s v="Tuesday"/>
    <n v="0"/>
    <s v="Morning"/>
    <n v="2.4666666666666668"/>
    <s v="Park Avenue"/>
    <n v="70"/>
    <x v="0"/>
    <n v="0"/>
    <n v="0"/>
    <x v="0"/>
    <n v="33.200000000000003"/>
    <n v="35.17"/>
    <s v="UPI"/>
    <x v="0"/>
    <s v="No Rain"/>
  </r>
  <r>
    <s v="S00113"/>
    <x v="2"/>
    <x v="112"/>
    <d v="2025-04-23T16:10:00"/>
    <n v="1.6166666666666669"/>
    <n v="21.63"/>
    <b v="0"/>
    <d v="2025-04-23T00:00:00"/>
    <x v="7"/>
    <s v="Wednesday"/>
    <n v="0"/>
    <s v="Afternoon"/>
    <n v="1.6166666666666669"/>
    <s v="Railway Station"/>
    <n v="100"/>
    <x v="2"/>
    <n v="0"/>
    <n v="0"/>
    <x v="0"/>
    <n v="29.9"/>
    <n v="21.63"/>
    <s v="CARD"/>
    <x v="0"/>
    <s v="No Rain"/>
  </r>
  <r>
    <s v="S00114"/>
    <x v="1"/>
    <x v="113"/>
    <d v="2025-04-24T13:51:00"/>
    <n v="2.8166666666666669"/>
    <n v="46.15"/>
    <b v="0"/>
    <d v="2025-04-24T00:00:00"/>
    <x v="14"/>
    <s v="Thursday"/>
    <n v="0"/>
    <s v="Morning"/>
    <n v="2.8166666666666669"/>
    <s v="Market Street"/>
    <n v="60"/>
    <x v="1"/>
    <n v="0"/>
    <n v="0"/>
    <x v="0"/>
    <n v="36.9"/>
    <n v="46.15"/>
    <s v="CARD"/>
    <x v="0"/>
    <s v="No Rain"/>
  </r>
  <r>
    <s v="S00115"/>
    <x v="4"/>
    <x v="114"/>
    <d v="2025-04-25T16:18:00"/>
    <n v="1.1333333333333331"/>
    <n v="25.92"/>
    <b v="0"/>
    <d v="2025-04-25T00:00:00"/>
    <x v="15"/>
    <s v="Friday"/>
    <n v="0"/>
    <s v="Afternoon"/>
    <n v="1.1333333333333331"/>
    <s v="City Centre"/>
    <n v="80"/>
    <x v="1"/>
    <n v="0"/>
    <n v="0"/>
    <x v="0"/>
    <n v="29.5"/>
    <n v="25.92"/>
    <s v="CARD"/>
    <x v="0"/>
    <s v="No Rain"/>
  </r>
  <r>
    <s v="S00116"/>
    <x v="2"/>
    <x v="115"/>
    <d v="2025-04-26T23:59:00"/>
    <n v="1.1333333333333331"/>
    <n v="30.48"/>
    <b v="0"/>
    <d v="2025-04-26T00:00:00"/>
    <x v="9"/>
    <s v="Saturday"/>
    <n v="1"/>
    <s v="Late Night"/>
    <n v="1.1333333333333331"/>
    <s v="Railway Station"/>
    <n v="100"/>
    <x v="2"/>
    <n v="1"/>
    <n v="1"/>
    <x v="1"/>
    <n v="35.4"/>
    <n v="30.48"/>
    <s v="UPI"/>
    <x v="1"/>
    <s v="Rain"/>
  </r>
  <r>
    <s v="S00117"/>
    <x v="3"/>
    <x v="116"/>
    <d v="2025-04-27T18:24:00"/>
    <n v="2.6333333333333329"/>
    <n v="46.94"/>
    <b v="0"/>
    <d v="2025-04-27T00:00:00"/>
    <x v="15"/>
    <s v="Sunday"/>
    <n v="1"/>
    <s v="Afternoon"/>
    <n v="2.6333333333333329"/>
    <s v="Hospital Road"/>
    <n v="50"/>
    <x v="3"/>
    <n v="1"/>
    <n v="0"/>
    <x v="0"/>
    <n v="25.7"/>
    <n v="46.94"/>
    <s v="CARD"/>
    <x v="0"/>
    <s v="No Rain"/>
  </r>
  <r>
    <s v="S00118"/>
    <x v="1"/>
    <x v="117"/>
    <d v="2025-04-28T22:08:00"/>
    <n v="1.3166666666666671"/>
    <n v="24.85"/>
    <b v="0"/>
    <d v="2025-04-28T00:00:00"/>
    <x v="3"/>
    <s v="Monday"/>
    <n v="0"/>
    <s v="Evening"/>
    <n v="1.3166666666666671"/>
    <s v="Market Street"/>
    <n v="60"/>
    <x v="1"/>
    <n v="0"/>
    <n v="0"/>
    <x v="1"/>
    <n v="29.6"/>
    <n v="24.85"/>
    <s v="CARD"/>
    <x v="0"/>
    <s v="Rain"/>
  </r>
  <r>
    <s v="S00119"/>
    <x v="3"/>
    <x v="118"/>
    <d v="2025-04-29T22:14:00"/>
    <n v="1.75"/>
    <n v="27.93"/>
    <b v="0"/>
    <d v="2025-04-29T00:00:00"/>
    <x v="3"/>
    <s v="Tuesday"/>
    <n v="0"/>
    <s v="Evening"/>
    <n v="1.75"/>
    <s v="Hospital Road"/>
    <n v="50"/>
    <x v="3"/>
    <n v="0"/>
    <n v="0"/>
    <x v="0"/>
    <n v="35.6"/>
    <n v="27.93"/>
    <s v="UPI"/>
    <x v="0"/>
    <s v="No Rain"/>
  </r>
  <r>
    <s v="S00120"/>
    <x v="3"/>
    <x v="119"/>
    <d v="2025-04-30T19:23:00"/>
    <n v="2.1833333333333331"/>
    <n v="42.36"/>
    <b v="0"/>
    <d v="2025-04-30T00:00:00"/>
    <x v="2"/>
    <s v="Wednesday"/>
    <n v="0"/>
    <s v="Evening"/>
    <n v="2.1833333333333331"/>
    <s v="Hospital Road"/>
    <n v="50"/>
    <x v="3"/>
    <n v="0"/>
    <n v="0"/>
    <x v="1"/>
    <n v="27.7"/>
    <n v="42.36"/>
    <s v="UPI"/>
    <x v="0"/>
    <s v="Rain"/>
  </r>
  <r>
    <s v="S00121"/>
    <x v="3"/>
    <x v="120"/>
    <d v="2025-05-01T13:07:00"/>
    <n v="1.783333333333333"/>
    <n v="26.34"/>
    <b v="0"/>
    <d v="2025-05-01T00:00:00"/>
    <x v="14"/>
    <s v="Thursday"/>
    <n v="0"/>
    <s v="Morning"/>
    <n v="1.783333333333333"/>
    <s v="Hospital Road"/>
    <n v="50"/>
    <x v="3"/>
    <n v="0"/>
    <n v="0"/>
    <x v="0"/>
    <n v="28.4"/>
    <n v="26.34"/>
    <s v="CARD"/>
    <x v="0"/>
    <s v="No Rain"/>
  </r>
  <r>
    <s v="S00122"/>
    <x v="1"/>
    <x v="121"/>
    <d v="2025-05-02T22:26:00"/>
    <n v="0.25"/>
    <n v="12.17"/>
    <b v="0"/>
    <d v="2025-05-02T00:00:00"/>
    <x v="9"/>
    <s v="Friday"/>
    <n v="0"/>
    <s v="Late Night"/>
    <n v="0.25"/>
    <s v="Market Street"/>
    <n v="60"/>
    <x v="1"/>
    <n v="0"/>
    <n v="0"/>
    <x v="0"/>
    <n v="33.799999999999997"/>
    <n v="12.17"/>
    <s v="UPI"/>
    <x v="0"/>
    <s v="No Rain"/>
  </r>
  <r>
    <s v="S00123"/>
    <x v="0"/>
    <x v="122"/>
    <d v="2025-05-03T19:43:00"/>
    <n v="0.93333333333333335"/>
    <n v="10"/>
    <b v="0"/>
    <d v="2025-05-03T00:00:00"/>
    <x v="12"/>
    <s v="Saturday"/>
    <n v="1"/>
    <s v="Evening"/>
    <n v="0.93333333333333335"/>
    <s v="Park Avenue"/>
    <n v="70"/>
    <x v="0"/>
    <n v="1"/>
    <n v="0"/>
    <x v="0"/>
    <n v="26.8"/>
    <n v="10"/>
    <s v="UPI"/>
    <x v="0"/>
    <s v="No Rain"/>
  </r>
  <r>
    <s v="S00124"/>
    <x v="2"/>
    <x v="123"/>
    <d v="2025-05-04T19:09:00"/>
    <n v="2.5666666666666669"/>
    <n v="45.29"/>
    <b v="0"/>
    <d v="2025-05-04T00:00:00"/>
    <x v="11"/>
    <s v="Sunday"/>
    <n v="1"/>
    <s v="Afternoon"/>
    <n v="2.5666666666666669"/>
    <s v="Railway Station"/>
    <n v="100"/>
    <x v="2"/>
    <n v="1"/>
    <n v="0"/>
    <x v="0"/>
    <n v="28.7"/>
    <n v="45.29"/>
    <s v="UPI"/>
    <x v="0"/>
    <s v="No Rain"/>
  </r>
  <r>
    <s v="S00125"/>
    <x v="4"/>
    <x v="124"/>
    <d v="2025-05-05T16:59:00"/>
    <n v="1.3"/>
    <n v="27.16"/>
    <b v="0"/>
    <d v="2025-05-05T00:00:00"/>
    <x v="15"/>
    <s v="Monday"/>
    <n v="0"/>
    <s v="Afternoon"/>
    <n v="1.3"/>
    <s v="City Centre"/>
    <n v="80"/>
    <x v="1"/>
    <n v="0"/>
    <n v="0"/>
    <x v="0"/>
    <n v="34.1"/>
    <n v="27.16"/>
    <s v="CARD"/>
    <x v="0"/>
    <s v="No Rain"/>
  </r>
  <r>
    <s v="S00126"/>
    <x v="3"/>
    <x v="125"/>
    <d v="2025-05-06T18:24:00"/>
    <n v="1.0666666666666671"/>
    <n v="31.7"/>
    <b v="0"/>
    <d v="2025-05-06T00:00:00"/>
    <x v="2"/>
    <s v="Tuesday"/>
    <n v="0"/>
    <s v="Evening"/>
    <n v="1.0666666666666671"/>
    <s v="Hospital Road"/>
    <n v="50"/>
    <x v="3"/>
    <n v="0"/>
    <n v="0"/>
    <x v="0"/>
    <n v="28.1"/>
    <n v="31.7"/>
    <s v="CASH"/>
    <x v="0"/>
    <s v="No Rain"/>
  </r>
  <r>
    <s v="S00127"/>
    <x v="4"/>
    <x v="126"/>
    <d v="2025-05-07T11:05:00"/>
    <n v="3.1333333333333329"/>
    <n v="54.99"/>
    <b v="0"/>
    <d v="2025-05-07T00:00:00"/>
    <x v="1"/>
    <s v="Wednesday"/>
    <n v="0"/>
    <s v="Morning"/>
    <n v="3.1333333333333329"/>
    <s v="City Centre"/>
    <n v="80"/>
    <x v="1"/>
    <n v="0"/>
    <n v="0"/>
    <x v="0"/>
    <n v="24.1"/>
    <n v="54.99"/>
    <s v="CASH"/>
    <x v="0"/>
    <s v="No Rain"/>
  </r>
  <r>
    <s v="S00128"/>
    <x v="3"/>
    <x v="127"/>
    <d v="2025-05-08T18:45:00"/>
    <n v="2.8"/>
    <n v="39.229999999999997"/>
    <b v="0"/>
    <d v="2025-05-08T00:00:00"/>
    <x v="15"/>
    <s v="Thursday"/>
    <n v="0"/>
    <s v="Afternoon"/>
    <n v="2.8"/>
    <s v="Hospital Road"/>
    <n v="50"/>
    <x v="3"/>
    <n v="0"/>
    <n v="0"/>
    <x v="0"/>
    <n v="28"/>
    <n v="39.229999999999997"/>
    <s v="CARD"/>
    <x v="0"/>
    <s v="No Rain"/>
  </r>
  <r>
    <s v="S00129"/>
    <x v="3"/>
    <x v="128"/>
    <d v="2025-05-10T00:29:00"/>
    <n v="2.0499999999999998"/>
    <n v="45.63"/>
    <b v="0"/>
    <d v="2025-05-09T00:00:00"/>
    <x v="9"/>
    <s v="Friday"/>
    <n v="0"/>
    <s v="Late Night"/>
    <n v="2.0499999999999998"/>
    <s v="Hospital Road"/>
    <n v="50"/>
    <x v="3"/>
    <n v="0"/>
    <n v="0"/>
    <x v="1"/>
    <n v="39"/>
    <n v="45.63"/>
    <s v="CASH"/>
    <x v="0"/>
    <s v="Rain"/>
  </r>
  <r>
    <s v="S00130"/>
    <x v="3"/>
    <x v="129"/>
    <d v="2025-05-10T12:34:00"/>
    <n v="2.4"/>
    <n v="40.39"/>
    <b v="0"/>
    <d v="2025-05-10T00:00:00"/>
    <x v="5"/>
    <s v="Saturday"/>
    <n v="1"/>
    <s v="Morning"/>
    <n v="2.4"/>
    <s v="Hospital Road"/>
    <n v="50"/>
    <x v="3"/>
    <n v="1"/>
    <n v="0"/>
    <x v="1"/>
    <n v="30.7"/>
    <n v="40.39"/>
    <s v="CASH"/>
    <x v="0"/>
    <s v="Rain"/>
  </r>
  <r>
    <s v="S00131"/>
    <x v="2"/>
    <x v="130"/>
    <d v="2025-05-11T17:28:00"/>
    <n v="3.6"/>
    <n v="55.38"/>
    <b v="0"/>
    <d v="2025-05-11T00:00:00"/>
    <x v="0"/>
    <s v="Sunday"/>
    <n v="1"/>
    <s v="Afternoon"/>
    <n v="3.6"/>
    <s v="Railway Station"/>
    <n v="100"/>
    <x v="2"/>
    <n v="1"/>
    <n v="0"/>
    <x v="0"/>
    <n v="29.3"/>
    <n v="55.38"/>
    <s v="UPI"/>
    <x v="0"/>
    <s v="No Rain"/>
  </r>
  <r>
    <s v="S00132"/>
    <x v="1"/>
    <x v="131"/>
    <d v="2025-05-12T21:03:00"/>
    <n v="2.416666666666667"/>
    <n v="36.5"/>
    <b v="0"/>
    <d v="2025-05-12T00:00:00"/>
    <x v="12"/>
    <s v="Monday"/>
    <n v="0"/>
    <s v="Evening"/>
    <n v="2.416666666666667"/>
    <s v="Market Street"/>
    <n v="60"/>
    <x v="1"/>
    <n v="0"/>
    <n v="0"/>
    <x v="0"/>
    <n v="34.5"/>
    <n v="36.5"/>
    <s v="CARD"/>
    <x v="0"/>
    <s v="No Rain"/>
  </r>
  <r>
    <s v="S00133"/>
    <x v="0"/>
    <x v="132"/>
    <d v="2025-05-13T19:31:00"/>
    <n v="2.35"/>
    <n v="44.81"/>
    <b v="0"/>
    <d v="2025-05-13T00:00:00"/>
    <x v="2"/>
    <s v="Tuesday"/>
    <n v="0"/>
    <s v="Evening"/>
    <n v="2.35"/>
    <s v="Park Avenue"/>
    <n v="70"/>
    <x v="0"/>
    <n v="0"/>
    <n v="0"/>
    <x v="0"/>
    <n v="30.2"/>
    <n v="44.81"/>
    <s v="UPI"/>
    <x v="0"/>
    <s v="No Rain"/>
  </r>
  <r>
    <s v="S00134"/>
    <x v="4"/>
    <x v="133"/>
    <d v="2025-05-14T23:27:00"/>
    <n v="2.8833333333333329"/>
    <n v="39.090000000000003"/>
    <b v="0"/>
    <d v="2025-05-14T00:00:00"/>
    <x v="3"/>
    <s v="Wednesday"/>
    <n v="0"/>
    <s v="Evening"/>
    <n v="2.8833333333333329"/>
    <s v="City Centre"/>
    <n v="80"/>
    <x v="1"/>
    <n v="0"/>
    <n v="0"/>
    <x v="0"/>
    <n v="33.9"/>
    <n v="39.090000000000003"/>
    <s v="UPI"/>
    <x v="0"/>
    <s v="No Rain"/>
  </r>
  <r>
    <s v="S00135"/>
    <x v="0"/>
    <x v="134"/>
    <d v="2025-05-15T17:46:00"/>
    <n v="4.0999999999999996"/>
    <n v="66.319999999999993"/>
    <b v="0"/>
    <d v="2025-05-15T00:00:00"/>
    <x v="0"/>
    <s v="Thursday"/>
    <n v="0"/>
    <s v="Afternoon"/>
    <n v="4.0999999999999996"/>
    <s v="Park Avenue"/>
    <n v="70"/>
    <x v="0"/>
    <n v="0"/>
    <n v="0"/>
    <x v="0"/>
    <n v="27.8"/>
    <n v="66.319999999999993"/>
    <s v="UPI"/>
    <x v="0"/>
    <s v="No Rain"/>
  </r>
  <r>
    <s v="S00136"/>
    <x v="2"/>
    <x v="135"/>
    <d v="2025-05-16T17:00:00"/>
    <n v="1.0666666666666671"/>
    <n v="22.13"/>
    <b v="0"/>
    <d v="2025-05-16T00:00:00"/>
    <x v="15"/>
    <s v="Friday"/>
    <n v="0"/>
    <s v="Afternoon"/>
    <n v="1.0666666666666671"/>
    <s v="Railway Station"/>
    <n v="100"/>
    <x v="2"/>
    <n v="0"/>
    <n v="0"/>
    <x v="0"/>
    <n v="27.1"/>
    <n v="22.13"/>
    <s v="UPI"/>
    <x v="0"/>
    <s v="No Rain"/>
  </r>
  <r>
    <s v="S00137"/>
    <x v="1"/>
    <x v="136"/>
    <d v="2025-05-17T11:45:00"/>
    <n v="3.2"/>
    <n v="55.63"/>
    <b v="0"/>
    <d v="2025-05-17T00:00:00"/>
    <x v="10"/>
    <s v="Saturday"/>
    <n v="1"/>
    <s v="Morning"/>
    <n v="3.2"/>
    <s v="Market Street"/>
    <n v="60"/>
    <x v="1"/>
    <n v="1"/>
    <n v="0"/>
    <x v="0"/>
    <n v="28"/>
    <n v="55.63"/>
    <s v="CASH"/>
    <x v="0"/>
    <s v="No Rain"/>
  </r>
  <r>
    <s v="S00138"/>
    <x v="1"/>
    <x v="137"/>
    <d v="2025-05-18T14:53:00"/>
    <n v="0.26666666666666672"/>
    <n v="10"/>
    <b v="0"/>
    <d v="2025-05-18T00:00:00"/>
    <x v="7"/>
    <s v="Sunday"/>
    <n v="1"/>
    <s v="Afternoon"/>
    <n v="0.26666666666666672"/>
    <s v="Market Street"/>
    <n v="60"/>
    <x v="1"/>
    <n v="1"/>
    <n v="0"/>
    <x v="0"/>
    <n v="23.3"/>
    <n v="10"/>
    <s v="CARD"/>
    <x v="0"/>
    <s v="No Rain"/>
  </r>
  <r>
    <s v="S00139"/>
    <x v="3"/>
    <x v="138"/>
    <d v="2025-05-19T10:04:00"/>
    <n v="1.716666666666667"/>
    <n v="21.64"/>
    <b v="0"/>
    <d v="2025-05-19T00:00:00"/>
    <x v="10"/>
    <s v="Monday"/>
    <n v="0"/>
    <s v="Morning"/>
    <n v="1.716666666666667"/>
    <s v="Hospital Road"/>
    <n v="50"/>
    <x v="3"/>
    <n v="0"/>
    <n v="0"/>
    <x v="1"/>
    <n v="34.5"/>
    <n v="21.64"/>
    <s v="UPI"/>
    <x v="0"/>
    <s v="Rain"/>
  </r>
  <r>
    <s v="S00140"/>
    <x v="2"/>
    <x v="139"/>
    <d v="2025-05-20T12:15:00"/>
    <n v="1.4333333333333329"/>
    <n v="27.87"/>
    <b v="0"/>
    <d v="2025-05-20T00:00:00"/>
    <x v="5"/>
    <s v="Tuesday"/>
    <n v="0"/>
    <s v="Morning"/>
    <n v="1.4333333333333329"/>
    <s v="Railway Station"/>
    <n v="100"/>
    <x v="2"/>
    <n v="0"/>
    <n v="0"/>
    <x v="0"/>
    <n v="31.3"/>
    <n v="27.87"/>
    <s v="CARD"/>
    <x v="0"/>
    <s v="No Rain"/>
  </r>
  <r>
    <s v="S00141"/>
    <x v="2"/>
    <x v="140"/>
    <d v="2025-05-21T15:28:00"/>
    <n v="0.6"/>
    <n v="10"/>
    <b v="0"/>
    <d v="2025-05-21T00:00:00"/>
    <x v="7"/>
    <s v="Wednesday"/>
    <n v="0"/>
    <s v="Afternoon"/>
    <n v="0.6"/>
    <s v="Railway Station"/>
    <n v="100"/>
    <x v="2"/>
    <n v="0"/>
    <n v="0"/>
    <x v="1"/>
    <n v="32.1"/>
    <n v="10"/>
    <s v="UPI"/>
    <x v="0"/>
    <s v="Rain"/>
  </r>
  <r>
    <s v="S00142"/>
    <x v="4"/>
    <x v="141"/>
    <d v="2025-05-22T08:30:00"/>
    <n v="0.4"/>
    <n v="11.07"/>
    <b v="0"/>
    <d v="2025-05-22T00:00:00"/>
    <x v="10"/>
    <s v="Thursday"/>
    <n v="0"/>
    <s v="Morning"/>
    <n v="0.4"/>
    <s v="City Centre"/>
    <n v="80"/>
    <x v="1"/>
    <n v="0"/>
    <n v="0"/>
    <x v="1"/>
    <n v="30.5"/>
    <n v="11.07"/>
    <s v="UPI"/>
    <x v="0"/>
    <s v="Rain"/>
  </r>
  <r>
    <s v="S00143"/>
    <x v="3"/>
    <x v="142"/>
    <d v="2025-05-23T21:33:00"/>
    <n v="0.46666666666666667"/>
    <n v="10"/>
    <b v="0"/>
    <d v="2025-05-23T00:00:00"/>
    <x v="13"/>
    <s v="Friday"/>
    <n v="0"/>
    <s v="Late Night"/>
    <n v="0.46666666666666667"/>
    <s v="Hospital Road"/>
    <n v="50"/>
    <x v="3"/>
    <n v="0"/>
    <n v="0"/>
    <x v="0"/>
    <n v="24.2"/>
    <n v="10"/>
    <s v="UPI"/>
    <x v="0"/>
    <s v="No Rain"/>
  </r>
  <r>
    <s v="S00144"/>
    <x v="4"/>
    <x v="143"/>
    <d v="2025-05-24T19:13:00"/>
    <n v="0.28333333333333333"/>
    <n v="11.99"/>
    <b v="0"/>
    <d v="2025-05-24T00:00:00"/>
    <x v="12"/>
    <s v="Saturday"/>
    <n v="1"/>
    <s v="Evening"/>
    <n v="0.28333333333333333"/>
    <s v="City Centre"/>
    <n v="80"/>
    <x v="1"/>
    <n v="1"/>
    <n v="0"/>
    <x v="1"/>
    <n v="30.3"/>
    <n v="11.99"/>
    <s v="CASH"/>
    <x v="0"/>
    <s v="Rain"/>
  </r>
  <r>
    <s v="S00145"/>
    <x v="1"/>
    <x v="144"/>
    <d v="2025-05-25T13:30:00"/>
    <n v="0.96666666666666667"/>
    <n v="13.07"/>
    <b v="0"/>
    <d v="2025-05-25T00:00:00"/>
    <x v="4"/>
    <s v="Sunday"/>
    <n v="1"/>
    <s v="Afternoon"/>
    <n v="0.96666666666666667"/>
    <s v="Market Street"/>
    <n v="60"/>
    <x v="1"/>
    <n v="1"/>
    <n v="0"/>
    <x v="0"/>
    <n v="30.8"/>
    <n v="13.07"/>
    <s v="CASH"/>
    <x v="0"/>
    <s v="No Rain"/>
  </r>
  <r>
    <s v="S00146"/>
    <x v="3"/>
    <x v="145"/>
    <d v="2025-05-26T11:02:00"/>
    <n v="2"/>
    <n v="39.03"/>
    <b v="0"/>
    <d v="2025-05-26T00:00:00"/>
    <x v="16"/>
    <s v="Monday"/>
    <n v="0"/>
    <s v="Morning"/>
    <n v="2"/>
    <s v="Hospital Road"/>
    <n v="50"/>
    <x v="3"/>
    <n v="0"/>
    <n v="0"/>
    <x v="0"/>
    <n v="25.3"/>
    <n v="39.03"/>
    <s v="UPI"/>
    <x v="0"/>
    <s v="No Rain"/>
  </r>
  <r>
    <s v="S00147"/>
    <x v="1"/>
    <x v="146"/>
    <d v="2025-05-27T14:08:00"/>
    <n v="5.4833333333333334"/>
    <n v="80.760000000000005"/>
    <b v="0"/>
    <d v="2025-05-27T00:00:00"/>
    <x v="10"/>
    <s v="Tuesday"/>
    <n v="0"/>
    <s v="Morning"/>
    <n v="5.4833333333333334"/>
    <s v="Market Street"/>
    <n v="60"/>
    <x v="1"/>
    <n v="0"/>
    <n v="0"/>
    <x v="1"/>
    <n v="29.3"/>
    <n v="80.760000000000005"/>
    <s v="UPI"/>
    <x v="0"/>
    <s v="Rain"/>
  </r>
  <r>
    <s v="S00148"/>
    <x v="4"/>
    <x v="147"/>
    <d v="2025-05-28T11:15:00"/>
    <n v="3.7"/>
    <n v="50.43"/>
    <b v="0"/>
    <d v="2025-05-28T00:00:00"/>
    <x v="1"/>
    <s v="Wednesday"/>
    <n v="0"/>
    <s v="Morning"/>
    <n v="3.7"/>
    <s v="City Centre"/>
    <n v="80"/>
    <x v="1"/>
    <n v="0"/>
    <n v="0"/>
    <x v="0"/>
    <n v="28.9"/>
    <n v="50.43"/>
    <s v="UPI"/>
    <x v="0"/>
    <s v="No Rain"/>
  </r>
  <r>
    <s v="S00149"/>
    <x v="1"/>
    <x v="148"/>
    <d v="2025-05-29T18:54:00"/>
    <n v="1.6333333333333331"/>
    <n v="31.31"/>
    <b v="0"/>
    <d v="2025-05-29T00:00:00"/>
    <x v="2"/>
    <s v="Thursday"/>
    <n v="0"/>
    <s v="Evening"/>
    <n v="1.6333333333333331"/>
    <s v="Market Street"/>
    <n v="60"/>
    <x v="1"/>
    <n v="0"/>
    <n v="0"/>
    <x v="0"/>
    <n v="22.6"/>
    <n v="31.31"/>
    <s v="UPI"/>
    <x v="0"/>
    <s v="No Rain"/>
  </r>
  <r>
    <s v="S00150"/>
    <x v="0"/>
    <x v="149"/>
    <d v="2025-05-30T19:35:00"/>
    <n v="2.6333333333333329"/>
    <n v="45.56"/>
    <b v="0"/>
    <d v="2025-05-30T00:00:00"/>
    <x v="11"/>
    <s v="Friday"/>
    <n v="0"/>
    <s v="Afternoon"/>
    <n v="2.6333333333333329"/>
    <s v="Park Avenue"/>
    <n v="70"/>
    <x v="0"/>
    <n v="0"/>
    <n v="0"/>
    <x v="0"/>
    <n v="25.6"/>
    <n v="45.56"/>
    <s v="CARD"/>
    <x v="0"/>
    <s v="No Rain"/>
  </r>
  <r>
    <s v="S00151"/>
    <x v="0"/>
    <x v="150"/>
    <d v="2025-05-31T08:26:00"/>
    <n v="0.85"/>
    <n v="10"/>
    <b v="0"/>
    <d v="2025-05-31T00:00:00"/>
    <x v="1"/>
    <s v="Saturday"/>
    <n v="1"/>
    <s v="Morning"/>
    <n v="0.85"/>
    <s v="Park Avenue"/>
    <n v="70"/>
    <x v="0"/>
    <n v="1"/>
    <n v="0"/>
    <x v="0"/>
    <n v="33.200000000000003"/>
    <n v="10"/>
    <s v="UPI"/>
    <x v="0"/>
    <s v="No Rain"/>
  </r>
  <r>
    <s v="S00152"/>
    <x v="4"/>
    <x v="151"/>
    <d v="2025-06-01T23:12:00"/>
    <n v="1.85"/>
    <n v="25.22"/>
    <b v="0"/>
    <d v="2025-06-01T00:00:00"/>
    <x v="13"/>
    <s v="Sunday"/>
    <n v="1"/>
    <s v="Late Night"/>
    <n v="1.85"/>
    <s v="City Centre"/>
    <n v="80"/>
    <x v="1"/>
    <n v="1"/>
    <n v="0"/>
    <x v="0"/>
    <n v="27.3"/>
    <n v="25.22"/>
    <s v="CASH"/>
    <x v="0"/>
    <s v="No Rain"/>
  </r>
  <r>
    <s v="S00153"/>
    <x v="0"/>
    <x v="152"/>
    <d v="2025-06-02T09:13:00"/>
    <n v="2.2833333333333332"/>
    <n v="45.83"/>
    <b v="0"/>
    <d v="2025-06-02T00:00:00"/>
    <x v="6"/>
    <s v="Monday"/>
    <n v="0"/>
    <s v="Morning"/>
    <n v="2.2833333333333332"/>
    <s v="Park Avenue"/>
    <n v="70"/>
    <x v="0"/>
    <n v="0"/>
    <n v="0"/>
    <x v="1"/>
    <n v="33"/>
    <n v="45.83"/>
    <s v="CASH"/>
    <x v="0"/>
    <s v="Rain"/>
  </r>
  <r>
    <s v="S00154"/>
    <x v="4"/>
    <x v="153"/>
    <d v="2025-06-03T20:09:00"/>
    <n v="2.5166666666666671"/>
    <n v="39.130000000000003"/>
    <b v="0"/>
    <d v="2025-06-03T00:00:00"/>
    <x v="2"/>
    <s v="Tuesday"/>
    <n v="0"/>
    <s v="Evening"/>
    <n v="2.5166666666666671"/>
    <s v="City Centre"/>
    <n v="80"/>
    <x v="1"/>
    <n v="0"/>
    <n v="0"/>
    <x v="0"/>
    <n v="20.399999999999999"/>
    <n v="39.130000000000003"/>
    <s v="UPI"/>
    <x v="0"/>
    <s v="No Rain"/>
  </r>
  <r>
    <s v="S00156"/>
    <x v="3"/>
    <x v="154"/>
    <d v="2025-06-05T14:54:00"/>
    <n v="0.7"/>
    <n v="14.67"/>
    <b v="0"/>
    <d v="2025-06-05T00:00:00"/>
    <x v="7"/>
    <s v="Thursday"/>
    <n v="0"/>
    <s v="Afternoon"/>
    <n v="0.7"/>
    <s v="Hospital Road"/>
    <n v="50"/>
    <x v="3"/>
    <n v="0"/>
    <n v="0"/>
    <x v="0"/>
    <n v="32.299999999999997"/>
    <n v="14.67"/>
    <s v="UPI"/>
    <x v="0"/>
    <s v="No Rain"/>
  </r>
  <r>
    <s v="S00157"/>
    <x v="0"/>
    <x v="155"/>
    <d v="2025-06-06T12:03:00"/>
    <n v="3.5"/>
    <n v="56.95"/>
    <b v="0"/>
    <d v="2025-06-06T00:00:00"/>
    <x v="10"/>
    <s v="Friday"/>
    <n v="0"/>
    <s v="Morning"/>
    <n v="3.5"/>
    <s v="Park Avenue"/>
    <n v="70"/>
    <x v="0"/>
    <n v="0"/>
    <n v="0"/>
    <x v="0"/>
    <n v="27.6"/>
    <n v="56.95"/>
    <s v="CARD"/>
    <x v="0"/>
    <s v="No Rain"/>
  </r>
  <r>
    <s v="S00158"/>
    <x v="1"/>
    <x v="156"/>
    <d v="2025-06-07T20:27:00"/>
    <n v="1.6333333333333331"/>
    <n v="20.399999999999999"/>
    <b v="0"/>
    <d v="2025-06-07T00:00:00"/>
    <x v="12"/>
    <s v="Saturday"/>
    <n v="1"/>
    <s v="Evening"/>
    <n v="1.6333333333333331"/>
    <s v="Market Street"/>
    <n v="60"/>
    <x v="1"/>
    <n v="1"/>
    <n v="0"/>
    <x v="0"/>
    <n v="31.4"/>
    <n v="20.399999999999999"/>
    <s v="UPI"/>
    <x v="0"/>
    <s v="No Rain"/>
  </r>
  <r>
    <s v="S00159"/>
    <x v="3"/>
    <x v="157"/>
    <d v="2025-06-08T13:48:00"/>
    <n v="3.0166666666666671"/>
    <n v="58.51"/>
    <b v="0"/>
    <d v="2025-06-08T00:00:00"/>
    <x v="5"/>
    <s v="Sunday"/>
    <n v="1"/>
    <s v="Morning"/>
    <n v="3.0166666666666671"/>
    <s v="Hospital Road"/>
    <n v="50"/>
    <x v="3"/>
    <n v="1"/>
    <n v="0"/>
    <x v="0"/>
    <n v="28.6"/>
    <n v="58.51"/>
    <s v="UPI"/>
    <x v="0"/>
    <s v="No Rain"/>
  </r>
  <r>
    <s v="S00160"/>
    <x v="1"/>
    <x v="158"/>
    <d v="2025-06-09T23:32:00"/>
    <n v="0.83333333333333337"/>
    <n v="17.34"/>
    <b v="0"/>
    <d v="2025-06-09T00:00:00"/>
    <x v="9"/>
    <s v="Monday"/>
    <n v="0"/>
    <s v="Late Night"/>
    <n v="0.83333333333333337"/>
    <s v="Market Street"/>
    <n v="60"/>
    <x v="1"/>
    <n v="0"/>
    <n v="0"/>
    <x v="1"/>
    <n v="25.9"/>
    <n v="17.34"/>
    <s v="UPI"/>
    <x v="0"/>
    <s v="Rain"/>
  </r>
  <r>
    <s v="S00161"/>
    <x v="3"/>
    <x v="159"/>
    <d v="2025-06-10T20:59:00"/>
    <n v="0.25"/>
    <n v="11.35"/>
    <b v="0"/>
    <d v="2025-06-10T00:00:00"/>
    <x v="3"/>
    <s v="Tuesday"/>
    <n v="0"/>
    <s v="Evening"/>
    <n v="0.25"/>
    <s v="Hospital Road"/>
    <n v="50"/>
    <x v="3"/>
    <n v="0"/>
    <n v="0"/>
    <x v="0"/>
    <n v="28.8"/>
    <n v="11.35"/>
    <s v="CASH"/>
    <x v="0"/>
    <s v="No Rain"/>
  </r>
  <r>
    <s v="S00162"/>
    <x v="2"/>
    <x v="160"/>
    <d v="2025-06-11T23:26:00"/>
    <n v="1.4833333333333329"/>
    <n v="30.42"/>
    <b v="0"/>
    <d v="2025-06-11T00:00:00"/>
    <x v="13"/>
    <s v="Wednesday"/>
    <n v="0"/>
    <s v="Late Night"/>
    <n v="1.4833333333333329"/>
    <s v="Railway Station"/>
    <n v="100"/>
    <x v="2"/>
    <n v="0"/>
    <n v="0"/>
    <x v="0"/>
    <n v="29"/>
    <n v="30.42"/>
    <s v="UPI"/>
    <x v="0"/>
    <s v="No Rain"/>
  </r>
  <r>
    <s v="S00163"/>
    <x v="2"/>
    <x v="161"/>
    <d v="2025-06-12T15:27:00"/>
    <n v="8"/>
    <n v="132.46"/>
    <b v="0"/>
    <d v="2025-06-12T00:00:00"/>
    <x v="1"/>
    <s v="Thursday"/>
    <n v="0"/>
    <s v="Morning"/>
    <n v="8"/>
    <s v="Railway Station"/>
    <n v="100"/>
    <x v="2"/>
    <n v="0"/>
    <n v="0"/>
    <x v="0"/>
    <n v="24.2"/>
    <n v="132.46"/>
    <s v="CARD"/>
    <x v="0"/>
    <s v="No Rain"/>
  </r>
  <r>
    <s v="S00164"/>
    <x v="4"/>
    <x v="162"/>
    <d v="2025-06-13T16:17:00"/>
    <n v="1.85"/>
    <n v="27.54"/>
    <b v="0"/>
    <d v="2025-06-13T00:00:00"/>
    <x v="7"/>
    <s v="Friday"/>
    <n v="0"/>
    <s v="Afternoon"/>
    <n v="1.85"/>
    <s v="City Centre"/>
    <n v="80"/>
    <x v="1"/>
    <n v="0"/>
    <n v="0"/>
    <x v="0"/>
    <n v="30.8"/>
    <n v="27.54"/>
    <s v="UPI"/>
    <x v="0"/>
    <s v="No Rain"/>
  </r>
  <r>
    <s v="S00165"/>
    <x v="2"/>
    <x v="163"/>
    <d v="2025-06-14T16:41:00"/>
    <n v="0.8666666666666667"/>
    <n v="10"/>
    <b v="0"/>
    <d v="2025-06-14T00:00:00"/>
    <x v="15"/>
    <s v="Saturday"/>
    <n v="1"/>
    <s v="Afternoon"/>
    <n v="0.8666666666666667"/>
    <s v="Railway Station"/>
    <n v="100"/>
    <x v="2"/>
    <n v="1"/>
    <n v="0"/>
    <x v="1"/>
    <n v="30.5"/>
    <n v="10"/>
    <s v="CARD"/>
    <x v="0"/>
    <s v="Rain"/>
  </r>
  <r>
    <s v="S00166"/>
    <x v="0"/>
    <x v="164"/>
    <d v="2025-06-15T18:50:00"/>
    <n v="2.7833333333333332"/>
    <n v="39.92"/>
    <b v="0"/>
    <d v="2025-06-15T00:00:00"/>
    <x v="11"/>
    <s v="Sunday"/>
    <n v="1"/>
    <s v="Afternoon"/>
    <n v="2.7833333333333332"/>
    <s v="Park Avenue"/>
    <n v="70"/>
    <x v="0"/>
    <n v="1"/>
    <n v="0"/>
    <x v="1"/>
    <n v="31"/>
    <n v="39.92"/>
    <s v="UPI"/>
    <x v="0"/>
    <s v="Rain"/>
  </r>
  <r>
    <s v="S00167"/>
    <x v="1"/>
    <x v="165"/>
    <d v="2025-06-16T11:23:00"/>
    <n v="2.6333333333333329"/>
    <n v="43.21"/>
    <b v="0"/>
    <d v="2025-06-16T00:00:00"/>
    <x v="10"/>
    <s v="Monday"/>
    <n v="0"/>
    <s v="Morning"/>
    <n v="2.6333333333333329"/>
    <s v="Market Street"/>
    <n v="60"/>
    <x v="1"/>
    <n v="0"/>
    <n v="0"/>
    <x v="0"/>
    <n v="33.6"/>
    <n v="43.21"/>
    <s v="CASH"/>
    <x v="0"/>
    <s v="No Rain"/>
  </r>
  <r>
    <s v="S00168"/>
    <x v="3"/>
    <x v="166"/>
    <d v="2025-06-17T23:15:00"/>
    <n v="0.8"/>
    <n v="11.71"/>
    <b v="0"/>
    <d v="2025-06-17T00:00:00"/>
    <x v="9"/>
    <s v="Tuesday"/>
    <n v="0"/>
    <s v="Late Night"/>
    <n v="0.8"/>
    <s v="Hospital Road"/>
    <n v="50"/>
    <x v="3"/>
    <n v="0"/>
    <n v="0"/>
    <x v="0"/>
    <n v="28.7"/>
    <n v="11.71"/>
    <s v="CARD"/>
    <x v="0"/>
    <s v="No Rain"/>
  </r>
  <r>
    <s v="S00169"/>
    <x v="4"/>
    <x v="167"/>
    <d v="2025-06-18T09:32:00"/>
    <n v="2.9666666666666668"/>
    <n v="35.4"/>
    <b v="0"/>
    <d v="2025-06-18T00:00:00"/>
    <x v="6"/>
    <s v="Wednesday"/>
    <n v="0"/>
    <s v="Morning"/>
    <n v="2.9666666666666668"/>
    <s v="City Centre"/>
    <n v="80"/>
    <x v="1"/>
    <n v="0"/>
    <n v="0"/>
    <x v="0"/>
    <n v="28"/>
    <n v="35.4"/>
    <s v="CASH"/>
    <x v="0"/>
    <s v="No Rain"/>
  </r>
  <r>
    <s v="S00170"/>
    <x v="1"/>
    <x v="168"/>
    <d v="2025-06-19T17:12:00"/>
    <n v="2.5333333333333332"/>
    <n v="39.92"/>
    <b v="0"/>
    <d v="2025-06-19T00:00:00"/>
    <x v="7"/>
    <s v="Thursday"/>
    <n v="0"/>
    <s v="Afternoon"/>
    <n v="2.5333333333333332"/>
    <s v="Market Street"/>
    <n v="60"/>
    <x v="1"/>
    <n v="0"/>
    <n v="0"/>
    <x v="0"/>
    <n v="32.4"/>
    <n v="39.92"/>
    <s v="UPI"/>
    <x v="0"/>
    <s v="No Rain"/>
  </r>
  <r>
    <s v="S00171"/>
    <x v="4"/>
    <x v="169"/>
    <d v="2025-06-20T17:39:00"/>
    <n v="1.5166666666666671"/>
    <n v="23.35"/>
    <b v="0"/>
    <d v="2025-06-20T00:00:00"/>
    <x v="11"/>
    <s v="Friday"/>
    <n v="0"/>
    <s v="Afternoon"/>
    <n v="1.5166666666666671"/>
    <s v="City Centre"/>
    <n v="80"/>
    <x v="1"/>
    <n v="0"/>
    <n v="0"/>
    <x v="1"/>
    <n v="29.7"/>
    <n v="23.35"/>
    <s v="UPI"/>
    <x v="0"/>
    <s v="Rain"/>
  </r>
  <r>
    <s v="S00172"/>
    <x v="4"/>
    <x v="170"/>
    <d v="2025-06-21T07:37:00"/>
    <n v="1.45"/>
    <n v="24.73"/>
    <b v="0"/>
    <d v="2025-06-21T00:00:00"/>
    <x v="6"/>
    <s v="Saturday"/>
    <n v="1"/>
    <s v="Morning"/>
    <n v="1.45"/>
    <s v="City Centre"/>
    <n v="80"/>
    <x v="1"/>
    <n v="1"/>
    <n v="0"/>
    <x v="0"/>
    <n v="30"/>
    <n v="24.73"/>
    <s v="CASH"/>
    <x v="0"/>
    <s v="No Rain"/>
  </r>
  <r>
    <s v="S00173"/>
    <x v="1"/>
    <x v="171"/>
    <d v="2025-06-22T15:37:00"/>
    <n v="2.1166666666666671"/>
    <n v="42.47"/>
    <b v="0"/>
    <d v="2025-06-22T00:00:00"/>
    <x v="0"/>
    <s v="Sunday"/>
    <n v="1"/>
    <s v="Afternoon"/>
    <n v="2.1166666666666671"/>
    <s v="Market Street"/>
    <n v="60"/>
    <x v="1"/>
    <n v="1"/>
    <n v="0"/>
    <x v="0"/>
    <n v="31.6"/>
    <n v="42.47"/>
    <s v="CARD"/>
    <x v="0"/>
    <s v="No Rain"/>
  </r>
  <r>
    <s v="S00174"/>
    <x v="2"/>
    <x v="172"/>
    <d v="2025-06-23T16:16:00"/>
    <n v="1.35"/>
    <n v="19.61"/>
    <b v="0"/>
    <d v="2025-06-23T00:00:00"/>
    <x v="7"/>
    <s v="Monday"/>
    <n v="0"/>
    <s v="Afternoon"/>
    <n v="1.35"/>
    <s v="Railway Station"/>
    <n v="100"/>
    <x v="2"/>
    <n v="0"/>
    <n v="0"/>
    <x v="0"/>
    <n v="31.3"/>
    <n v="19.61"/>
    <s v="CARD"/>
    <x v="0"/>
    <s v="No Rain"/>
  </r>
  <r>
    <s v="S00175"/>
    <x v="1"/>
    <x v="173"/>
    <d v="2025-06-24T23:16:00"/>
    <n v="4.0166666666666666"/>
    <n v="76.08"/>
    <b v="0"/>
    <d v="2025-06-24T00:00:00"/>
    <x v="8"/>
    <s v="Tuesday"/>
    <n v="0"/>
    <s v="Evening"/>
    <n v="4.0166666666666666"/>
    <s v="Market Street"/>
    <n v="60"/>
    <x v="1"/>
    <n v="0"/>
    <n v="0"/>
    <x v="0"/>
    <n v="28.3"/>
    <n v="76.08"/>
    <s v="CASH"/>
    <x v="0"/>
    <s v="No Rain"/>
  </r>
  <r>
    <s v="S00176"/>
    <x v="2"/>
    <x v="174"/>
    <d v="2025-06-25T12:48:00"/>
    <n v="1.966666666666667"/>
    <n v="25.61"/>
    <b v="0"/>
    <d v="2025-06-25T00:00:00"/>
    <x v="5"/>
    <s v="Wednesday"/>
    <n v="0"/>
    <s v="Morning"/>
    <n v="1.966666666666667"/>
    <s v="Railway Station"/>
    <n v="100"/>
    <x v="2"/>
    <n v="0"/>
    <n v="0"/>
    <x v="0"/>
    <n v="30.3"/>
    <n v="25.61"/>
    <s v="CASH"/>
    <x v="0"/>
    <s v="No Rain"/>
  </r>
  <r>
    <s v="S00177"/>
    <x v="0"/>
    <x v="175"/>
    <d v="2025-06-26T14:12:00"/>
    <n v="0.75"/>
    <n v="12.38"/>
    <b v="0"/>
    <d v="2025-06-26T00:00:00"/>
    <x v="0"/>
    <s v="Thursday"/>
    <n v="0"/>
    <s v="Afternoon"/>
    <n v="0.75"/>
    <s v="Park Avenue"/>
    <n v="70"/>
    <x v="0"/>
    <n v="0"/>
    <n v="0"/>
    <x v="1"/>
    <n v="32.299999999999997"/>
    <n v="12.38"/>
    <s v="UPI"/>
    <x v="0"/>
    <s v="Rain"/>
  </r>
  <r>
    <s v="S00178"/>
    <x v="0"/>
    <x v="176"/>
    <d v="2025-06-27T11:21:00"/>
    <n v="0.66666666666666663"/>
    <n v="10"/>
    <b v="0"/>
    <d v="2025-06-27T00:00:00"/>
    <x v="5"/>
    <s v="Friday"/>
    <n v="0"/>
    <s v="Morning"/>
    <n v="0.66666666666666663"/>
    <s v="Park Avenue"/>
    <n v="70"/>
    <x v="0"/>
    <n v="0"/>
    <n v="0"/>
    <x v="0"/>
    <n v="34.5"/>
    <n v="10"/>
    <s v="UPI"/>
    <x v="0"/>
    <s v="No Rain"/>
  </r>
  <r>
    <s v="S00179"/>
    <x v="2"/>
    <x v="177"/>
    <d v="2025-06-28T12:23:00"/>
    <n v="4.9000000000000004"/>
    <n v="74.650000000000006"/>
    <b v="0"/>
    <d v="2025-06-28T00:00:00"/>
    <x v="1"/>
    <s v="Saturday"/>
    <n v="1"/>
    <s v="Morning"/>
    <n v="4.9000000000000004"/>
    <s v="Railway Station"/>
    <n v="100"/>
    <x v="2"/>
    <n v="1"/>
    <n v="0"/>
    <x v="0"/>
    <n v="31.8"/>
    <n v="74.650000000000006"/>
    <s v="UPI"/>
    <x v="0"/>
    <s v="No Rain"/>
  </r>
  <r>
    <s v="S00180"/>
    <x v="3"/>
    <x v="178"/>
    <d v="2025-06-29T16:49:00"/>
    <n v="1.1499999999999999"/>
    <n v="24.14"/>
    <b v="0"/>
    <d v="2025-06-29T00:00:00"/>
    <x v="15"/>
    <s v="Sunday"/>
    <n v="1"/>
    <s v="Afternoon"/>
    <n v="1.1499999999999999"/>
    <s v="Hospital Road"/>
    <n v="50"/>
    <x v="3"/>
    <n v="1"/>
    <n v="0"/>
    <x v="1"/>
    <n v="25.8"/>
    <n v="24.14"/>
    <s v="CASH"/>
    <x v="0"/>
    <s v="Rain"/>
  </r>
  <r>
    <s v="S00181"/>
    <x v="2"/>
    <x v="179"/>
    <d v="2025-06-30T09:05:00"/>
    <n v="1.25"/>
    <n v="21.23"/>
    <b v="0"/>
    <d v="2025-06-30T00:00:00"/>
    <x v="1"/>
    <s v="Monday"/>
    <n v="0"/>
    <s v="Morning"/>
    <n v="1.25"/>
    <s v="Railway Station"/>
    <n v="100"/>
    <x v="2"/>
    <n v="0"/>
    <n v="0"/>
    <x v="1"/>
    <n v="32.4"/>
    <n v="21.23"/>
    <s v="UPI"/>
    <x v="0"/>
    <s v="Rain"/>
  </r>
  <r>
    <s v="S00182"/>
    <x v="0"/>
    <x v="180"/>
    <d v="2025-07-01T18:20:00"/>
    <n v="0.25"/>
    <n v="10"/>
    <b v="0"/>
    <d v="2025-07-01T00:00:00"/>
    <x v="12"/>
    <s v="Tuesday"/>
    <n v="0"/>
    <s v="Evening"/>
    <n v="0.25"/>
    <s v="Park Avenue"/>
    <n v="70"/>
    <x v="0"/>
    <n v="0"/>
    <n v="0"/>
    <x v="0"/>
    <n v="31.2"/>
    <n v="10"/>
    <s v="UPI"/>
    <x v="0"/>
    <s v="No Rain"/>
  </r>
  <r>
    <s v="S00183"/>
    <x v="0"/>
    <x v="181"/>
    <d v="2025-07-02T14:06:00"/>
    <n v="0.25"/>
    <n v="13.35"/>
    <b v="0"/>
    <d v="2025-07-02T00:00:00"/>
    <x v="0"/>
    <s v="Wednesday"/>
    <n v="0"/>
    <s v="Afternoon"/>
    <n v="0.25"/>
    <s v="Park Avenue"/>
    <n v="70"/>
    <x v="0"/>
    <n v="0"/>
    <n v="0"/>
    <x v="0"/>
    <n v="33.799999999999997"/>
    <n v="13.35"/>
    <s v="CARD"/>
    <x v="0"/>
    <s v="No Rain"/>
  </r>
  <r>
    <s v="S00184"/>
    <x v="1"/>
    <x v="182"/>
    <d v="2025-07-03T21:00:00"/>
    <n v="2.4"/>
    <n v="37.28"/>
    <b v="0"/>
    <d v="2025-07-03T00:00:00"/>
    <x v="12"/>
    <s v="Thursday"/>
    <n v="0"/>
    <s v="Evening"/>
    <n v="2.4"/>
    <s v="Market Street"/>
    <n v="60"/>
    <x v="1"/>
    <n v="0"/>
    <n v="0"/>
    <x v="0"/>
    <n v="36.700000000000003"/>
    <n v="37.28"/>
    <s v="UPI"/>
    <x v="0"/>
    <s v="No Rain"/>
  </r>
  <r>
    <s v="S00185"/>
    <x v="3"/>
    <x v="183"/>
    <d v="2025-07-04T16:56:00"/>
    <n v="1.6833333333333329"/>
    <n v="24.79"/>
    <b v="0"/>
    <d v="2025-07-04T00:00:00"/>
    <x v="15"/>
    <s v="Friday"/>
    <n v="0"/>
    <s v="Afternoon"/>
    <n v="1.6833333333333329"/>
    <s v="Hospital Road"/>
    <n v="50"/>
    <x v="3"/>
    <n v="0"/>
    <n v="0"/>
    <x v="1"/>
    <n v="33.6"/>
    <n v="24.79"/>
    <s v="CASH"/>
    <x v="0"/>
    <s v="Rain"/>
  </r>
  <r>
    <s v="S00186"/>
    <x v="1"/>
    <x v="184"/>
    <d v="2025-07-05T18:56:00"/>
    <n v="0.56666666666666665"/>
    <n v="12.93"/>
    <b v="0"/>
    <d v="2025-07-05T00:00:00"/>
    <x v="12"/>
    <s v="Saturday"/>
    <n v="1"/>
    <s v="Evening"/>
    <n v="0.56666666666666665"/>
    <s v="Market Street"/>
    <n v="60"/>
    <x v="1"/>
    <n v="1"/>
    <n v="1"/>
    <x v="0"/>
    <n v="31.1"/>
    <n v="12.93"/>
    <s v="CASH"/>
    <x v="1"/>
    <s v="No Rain"/>
  </r>
  <r>
    <s v="S00187"/>
    <x v="1"/>
    <x v="185"/>
    <d v="2025-07-06T14:07:00"/>
    <n v="3.2166666666666668"/>
    <n v="54.08"/>
    <b v="0"/>
    <d v="2025-07-06T00:00:00"/>
    <x v="5"/>
    <s v="Sunday"/>
    <n v="1"/>
    <s v="Morning"/>
    <n v="3.2166666666666668"/>
    <s v="Market Street"/>
    <n v="60"/>
    <x v="1"/>
    <n v="1"/>
    <n v="0"/>
    <x v="0"/>
    <n v="24.1"/>
    <n v="54.08"/>
    <s v="UPI"/>
    <x v="0"/>
    <s v="No Rain"/>
  </r>
  <r>
    <s v="S00188"/>
    <x v="4"/>
    <x v="186"/>
    <d v="2025-07-08T02:51:00"/>
    <n v="7.083333333333333"/>
    <n v="110.24"/>
    <b v="0"/>
    <d v="2025-07-07T00:00:00"/>
    <x v="8"/>
    <s v="Monday"/>
    <n v="0"/>
    <s v="Evening"/>
    <n v="7.083333333333333"/>
    <s v="City Centre"/>
    <n v="80"/>
    <x v="1"/>
    <n v="0"/>
    <n v="0"/>
    <x v="0"/>
    <n v="33.1"/>
    <n v="110.24"/>
    <s v="UPI"/>
    <x v="0"/>
    <s v="No Rain"/>
  </r>
  <r>
    <s v="S00189"/>
    <x v="0"/>
    <x v="187"/>
    <m/>
    <m/>
    <n v="47.93"/>
    <b v="1"/>
    <d v="2025-07-08T00:00:00"/>
    <x v="9"/>
    <s v="Tuesday"/>
    <n v="0"/>
    <s v="Late Night"/>
    <m/>
    <s v="Park Avenue"/>
    <n v="70"/>
    <x v="0"/>
    <n v="0"/>
    <n v="0"/>
    <x v="0"/>
    <n v="28.9"/>
    <n v="47.93"/>
    <s v="UPI"/>
    <x v="0"/>
    <s v="No Rain"/>
  </r>
  <r>
    <s v="S00190"/>
    <x v="1"/>
    <x v="188"/>
    <d v="2025-07-09T12:40:00"/>
    <n v="2.0499999999999998"/>
    <n v="38.840000000000003"/>
    <b v="0"/>
    <d v="2025-07-09T00:00:00"/>
    <x v="5"/>
    <s v="Wednesday"/>
    <n v="0"/>
    <s v="Morning"/>
    <n v="2.0499999999999998"/>
    <s v="Market Street"/>
    <n v="60"/>
    <x v="1"/>
    <n v="0"/>
    <n v="0"/>
    <x v="0"/>
    <n v="28.9"/>
    <n v="38.840000000000003"/>
    <s v="UPI"/>
    <x v="0"/>
    <s v="No Rain"/>
  </r>
  <r>
    <s v="S00191"/>
    <x v="4"/>
    <x v="189"/>
    <d v="2025-07-11T01:17:00"/>
    <n v="2.75"/>
    <n v="36.72"/>
    <b v="0"/>
    <d v="2025-07-10T00:00:00"/>
    <x v="9"/>
    <s v="Thursday"/>
    <n v="0"/>
    <s v="Late Night"/>
    <n v="2.75"/>
    <s v="City Centre"/>
    <n v="80"/>
    <x v="1"/>
    <n v="0"/>
    <n v="0"/>
    <x v="1"/>
    <n v="25.9"/>
    <n v="36.72"/>
    <s v="UPI"/>
    <x v="0"/>
    <s v="Rain"/>
  </r>
  <r>
    <s v="S00192"/>
    <x v="4"/>
    <x v="190"/>
    <d v="2025-07-12T00:14:00"/>
    <n v="3.6833333333333331"/>
    <n v="53.4"/>
    <b v="0"/>
    <d v="2025-07-11T00:00:00"/>
    <x v="3"/>
    <s v="Friday"/>
    <n v="0"/>
    <s v="Evening"/>
    <n v="3.6833333333333331"/>
    <s v="City Centre"/>
    <n v="80"/>
    <x v="1"/>
    <n v="0"/>
    <n v="0"/>
    <x v="0"/>
    <n v="34.6"/>
    <n v="53.4"/>
    <s v="CARD"/>
    <x v="0"/>
    <s v="No Rain"/>
  </r>
  <r>
    <s v="S00193"/>
    <x v="1"/>
    <x v="191"/>
    <d v="2025-07-12T23:11:00"/>
    <n v="2.583333333333333"/>
    <n v="42.17"/>
    <b v="0"/>
    <d v="2025-07-12T00:00:00"/>
    <x v="3"/>
    <s v="Saturday"/>
    <n v="1"/>
    <s v="Evening"/>
    <n v="2.583333333333333"/>
    <s v="Market Street"/>
    <n v="60"/>
    <x v="1"/>
    <n v="1"/>
    <n v="1"/>
    <x v="0"/>
    <n v="30.9"/>
    <n v="42.17"/>
    <s v="UPI"/>
    <x v="1"/>
    <s v="No Rain"/>
  </r>
  <r>
    <s v="S00194"/>
    <x v="2"/>
    <x v="192"/>
    <d v="2025-07-13T11:15:00"/>
    <n v="4.5166666666666666"/>
    <n v="63.75"/>
    <b v="0"/>
    <d v="2025-07-13T00:00:00"/>
    <x v="6"/>
    <s v="Sunday"/>
    <n v="1"/>
    <s v="Morning"/>
    <n v="4.5166666666666666"/>
    <s v="Railway Station"/>
    <n v="100"/>
    <x v="2"/>
    <n v="1"/>
    <n v="0"/>
    <x v="0"/>
    <n v="26.1"/>
    <n v="63.75"/>
    <s v="UPI"/>
    <x v="0"/>
    <s v="No Rain"/>
  </r>
  <r>
    <s v="S00195"/>
    <x v="2"/>
    <x v="193"/>
    <d v="2025-07-14T08:31:00"/>
    <n v="2.4333333333333331"/>
    <n v="42.23"/>
    <b v="0"/>
    <d v="2025-07-14T00:00:00"/>
    <x v="6"/>
    <s v="Monday"/>
    <n v="0"/>
    <s v="Morning"/>
    <n v="2.4333333333333331"/>
    <s v="Railway Station"/>
    <n v="100"/>
    <x v="2"/>
    <n v="0"/>
    <n v="0"/>
    <x v="0"/>
    <n v="33.4"/>
    <n v="42.23"/>
    <s v="CASH"/>
    <x v="0"/>
    <s v="No Rain"/>
  </r>
  <r>
    <s v="S00196"/>
    <x v="2"/>
    <x v="194"/>
    <d v="2025-07-15T16:59:00"/>
    <n v="0.65"/>
    <n v="10"/>
    <b v="0"/>
    <d v="2025-07-15T00:00:00"/>
    <x v="11"/>
    <s v="Tuesday"/>
    <n v="0"/>
    <s v="Afternoon"/>
    <n v="0.65"/>
    <s v="Railway Station"/>
    <n v="100"/>
    <x v="2"/>
    <n v="0"/>
    <n v="0"/>
    <x v="0"/>
    <n v="22.3"/>
    <n v="10"/>
    <s v="CASH"/>
    <x v="0"/>
    <s v="No Rain"/>
  </r>
  <r>
    <s v="S00197"/>
    <x v="2"/>
    <x v="195"/>
    <d v="2025-07-16T17:54:00"/>
    <n v="1.2333333333333329"/>
    <n v="27.75"/>
    <b v="0"/>
    <d v="2025-07-16T00:00:00"/>
    <x v="11"/>
    <s v="Wednesday"/>
    <n v="0"/>
    <s v="Afternoon"/>
    <n v="1.2333333333333329"/>
    <s v="Railway Station"/>
    <n v="100"/>
    <x v="2"/>
    <n v="0"/>
    <n v="0"/>
    <x v="1"/>
    <n v="29.2"/>
    <n v="27.75"/>
    <s v="UPI"/>
    <x v="0"/>
    <s v="Rain"/>
  </r>
  <r>
    <s v="S00198"/>
    <x v="1"/>
    <x v="196"/>
    <d v="2025-07-17T19:44:00"/>
    <n v="1.55"/>
    <n v="27.16"/>
    <b v="0"/>
    <d v="2025-07-17T00:00:00"/>
    <x v="12"/>
    <s v="Thursday"/>
    <n v="0"/>
    <s v="Evening"/>
    <n v="1.55"/>
    <s v="Market Street"/>
    <n v="60"/>
    <x v="1"/>
    <n v="0"/>
    <n v="0"/>
    <x v="0"/>
    <n v="28.7"/>
    <n v="27.16"/>
    <s v="UPI"/>
    <x v="0"/>
    <s v="No Rain"/>
  </r>
  <r>
    <s v="S00199"/>
    <x v="2"/>
    <x v="197"/>
    <d v="2025-07-18T18:22:00"/>
    <n v="6.2666666666666666"/>
    <n v="104.48"/>
    <b v="0"/>
    <d v="2025-07-18T00:00:00"/>
    <x v="4"/>
    <s v="Friday"/>
    <n v="0"/>
    <s v="Afternoon"/>
    <n v="6.2666666666666666"/>
    <s v="Railway Station"/>
    <n v="100"/>
    <x v="2"/>
    <n v="0"/>
    <n v="0"/>
    <x v="0"/>
    <n v="29.1"/>
    <n v="104.48"/>
    <s v="CARD"/>
    <x v="0"/>
    <s v="No Rain"/>
  </r>
  <r>
    <s v="S00201"/>
    <x v="1"/>
    <x v="198"/>
    <d v="2025-07-20T08:06:00"/>
    <n v="1.5"/>
    <n v="26.1"/>
    <b v="0"/>
    <d v="2025-07-20T00:00:00"/>
    <x v="6"/>
    <s v="Sunday"/>
    <n v="1"/>
    <s v="Morning"/>
    <n v="1.5"/>
    <s v="Market Street"/>
    <n v="60"/>
    <x v="1"/>
    <n v="1"/>
    <n v="0"/>
    <x v="0"/>
    <n v="24.9"/>
    <n v="26.1"/>
    <s v="UPI"/>
    <x v="0"/>
    <s v="No Rain"/>
  </r>
  <r>
    <s v="S00202"/>
    <x v="1"/>
    <x v="199"/>
    <d v="2025-07-21T09:41:00"/>
    <n v="0.4"/>
    <n v="10"/>
    <b v="0"/>
    <d v="2025-07-21T00:00:00"/>
    <x v="16"/>
    <s v="Monday"/>
    <n v="0"/>
    <s v="Morning"/>
    <n v="0.4"/>
    <s v="Market Street"/>
    <n v="60"/>
    <x v="1"/>
    <n v="0"/>
    <n v="0"/>
    <x v="0"/>
    <n v="27.3"/>
    <n v="10"/>
    <s v="CASH"/>
    <x v="0"/>
    <s v="No Rain"/>
  </r>
  <r>
    <s v="S00203"/>
    <x v="3"/>
    <x v="200"/>
    <d v="2025-07-22T10:27:00"/>
    <n v="0.98333333333333328"/>
    <n v="10"/>
    <b v="0"/>
    <d v="2025-07-22T00:00:00"/>
    <x v="16"/>
    <s v="Tuesday"/>
    <n v="0"/>
    <s v="Morning"/>
    <n v="0.98333333333333328"/>
    <s v="Hospital Road"/>
    <n v="50"/>
    <x v="3"/>
    <n v="0"/>
    <n v="0"/>
    <x v="0"/>
    <n v="29.7"/>
    <n v="10"/>
    <s v="UPI"/>
    <x v="0"/>
    <s v="No Rain"/>
  </r>
  <r>
    <s v="S00204"/>
    <x v="3"/>
    <x v="201"/>
    <d v="2025-07-23T17:22:00"/>
    <n v="0.76666666666666672"/>
    <n v="10"/>
    <b v="0"/>
    <d v="2025-07-23T00:00:00"/>
    <x v="11"/>
    <s v="Wednesday"/>
    <n v="0"/>
    <s v="Afternoon"/>
    <n v="0.76666666666666672"/>
    <s v="Hospital Road"/>
    <n v="50"/>
    <x v="3"/>
    <n v="0"/>
    <n v="0"/>
    <x v="1"/>
    <n v="32.299999999999997"/>
    <n v="10"/>
    <s v="UPI"/>
    <x v="0"/>
    <s v="Rain"/>
  </r>
  <r>
    <s v="S00205"/>
    <x v="3"/>
    <x v="202"/>
    <d v="2025-07-25T00:54:00"/>
    <n v="2.4833333333333329"/>
    <n v="34.96"/>
    <b v="0"/>
    <d v="2025-07-24T00:00:00"/>
    <x v="9"/>
    <s v="Thursday"/>
    <n v="0"/>
    <s v="Late Night"/>
    <n v="2.4833333333333329"/>
    <s v="Hospital Road"/>
    <n v="50"/>
    <x v="3"/>
    <n v="0"/>
    <n v="0"/>
    <x v="0"/>
    <n v="34.6"/>
    <n v="34.96"/>
    <s v="CARD"/>
    <x v="0"/>
    <s v="No Rain"/>
  </r>
  <r>
    <s v="S00206"/>
    <x v="3"/>
    <x v="203"/>
    <d v="2025-07-25T14:41:00"/>
    <n v="0.38333333333333341"/>
    <n v="10"/>
    <b v="0"/>
    <d v="2025-07-25T00:00:00"/>
    <x v="7"/>
    <s v="Friday"/>
    <n v="0"/>
    <s v="Afternoon"/>
    <n v="0.38333333333333341"/>
    <s v="Hospital Road"/>
    <n v="50"/>
    <x v="3"/>
    <n v="0"/>
    <n v="0"/>
    <x v="1"/>
    <n v="33.299999999999997"/>
    <n v="10"/>
    <s v="UPI"/>
    <x v="0"/>
    <s v="Rain"/>
  </r>
  <r>
    <s v="S00207"/>
    <x v="3"/>
    <x v="204"/>
    <d v="2025-07-26T23:33:00"/>
    <n v="2.916666666666667"/>
    <n v="35.36"/>
    <b v="0"/>
    <d v="2025-07-26T00:00:00"/>
    <x v="3"/>
    <s v="Saturday"/>
    <n v="1"/>
    <s v="Evening"/>
    <n v="2.916666666666667"/>
    <s v="Hospital Road"/>
    <n v="50"/>
    <x v="3"/>
    <n v="1"/>
    <n v="1"/>
    <x v="1"/>
    <n v="28.9"/>
    <n v="35.36"/>
    <s v="UPI"/>
    <x v="1"/>
    <s v="Rain"/>
  </r>
  <r>
    <s v="S00208"/>
    <x v="4"/>
    <x v="205"/>
    <d v="2025-07-27T14:10:00"/>
    <n v="3.05"/>
    <n v="59.17"/>
    <b v="0"/>
    <d v="2025-07-27T00:00:00"/>
    <x v="14"/>
    <s v="Sunday"/>
    <n v="1"/>
    <s v="Morning"/>
    <n v="3.05"/>
    <s v="City Centre"/>
    <n v="80"/>
    <x v="1"/>
    <n v="1"/>
    <n v="0"/>
    <x v="1"/>
    <n v="31"/>
    <n v="59.17"/>
    <s v="CARD"/>
    <x v="0"/>
    <s v="Rain"/>
  </r>
  <r>
    <s v="S00209"/>
    <x v="4"/>
    <x v="206"/>
    <d v="2025-07-28T18:02:00"/>
    <n v="3.1"/>
    <n v="52.97"/>
    <b v="0"/>
    <d v="2025-07-28T00:00:00"/>
    <x v="7"/>
    <s v="Monday"/>
    <n v="0"/>
    <s v="Afternoon"/>
    <n v="3.1"/>
    <s v="City Centre"/>
    <n v="80"/>
    <x v="1"/>
    <n v="0"/>
    <n v="0"/>
    <x v="0"/>
    <n v="30.7"/>
    <n v="52.97"/>
    <s v="UPI"/>
    <x v="0"/>
    <s v="No Rain"/>
  </r>
  <r>
    <s v="S00210"/>
    <x v="3"/>
    <x v="207"/>
    <d v="2025-07-29T13:04:00"/>
    <n v="0.48333333333333328"/>
    <n v="12.49"/>
    <b v="0"/>
    <d v="2025-07-29T00:00:00"/>
    <x v="4"/>
    <s v="Tuesday"/>
    <n v="0"/>
    <s v="Afternoon"/>
    <n v="0.48333333333333328"/>
    <s v="Hospital Road"/>
    <n v="50"/>
    <x v="3"/>
    <n v="0"/>
    <n v="0"/>
    <x v="0"/>
    <n v="35.6"/>
    <n v="12.49"/>
    <s v="UPI"/>
    <x v="0"/>
    <s v="No Rain"/>
  </r>
  <r>
    <s v="S00211"/>
    <x v="2"/>
    <x v="208"/>
    <d v="2025-07-30T10:11:00"/>
    <n v="1.0666666666666671"/>
    <n v="26.54"/>
    <b v="0"/>
    <d v="2025-07-30T00:00:00"/>
    <x v="16"/>
    <s v="Wednesday"/>
    <n v="0"/>
    <s v="Morning"/>
    <n v="1.0666666666666671"/>
    <s v="Railway Station"/>
    <n v="100"/>
    <x v="2"/>
    <n v="0"/>
    <n v="0"/>
    <x v="0"/>
    <n v="26.4"/>
    <n v="26.54"/>
    <s v="CASH"/>
    <x v="0"/>
    <s v="No Rain"/>
  </r>
  <r>
    <s v="S00212"/>
    <x v="3"/>
    <x v="209"/>
    <d v="2025-07-31T11:27:00"/>
    <n v="0.4"/>
    <n v="10"/>
    <b v="0"/>
    <d v="2025-07-31T00:00:00"/>
    <x v="14"/>
    <s v="Thursday"/>
    <n v="0"/>
    <s v="Morning"/>
    <n v="0.4"/>
    <s v="Hospital Road"/>
    <n v="50"/>
    <x v="3"/>
    <n v="0"/>
    <n v="0"/>
    <x v="0"/>
    <n v="31.9"/>
    <n v="10"/>
    <s v="CARD"/>
    <x v="0"/>
    <s v="No Rain"/>
  </r>
  <r>
    <s v="S00213"/>
    <x v="1"/>
    <x v="210"/>
    <d v="2025-08-01T07:41:00"/>
    <n v="1.6"/>
    <n v="26.76"/>
    <b v="0"/>
    <d v="2025-08-01T00:00:00"/>
    <x v="6"/>
    <s v="Friday"/>
    <n v="0"/>
    <s v="Morning"/>
    <n v="1.6"/>
    <s v="Market Street"/>
    <n v="60"/>
    <x v="1"/>
    <n v="0"/>
    <n v="0"/>
    <x v="0"/>
    <n v="26.2"/>
    <n v="26.76"/>
    <s v="CARD"/>
    <x v="0"/>
    <s v="No Rain"/>
  </r>
  <r>
    <s v="S00214"/>
    <x v="1"/>
    <x v="211"/>
    <d v="2025-08-02T22:22:00"/>
    <n v="1.833333333333333"/>
    <n v="23.63"/>
    <b v="0"/>
    <d v="2025-08-02T00:00:00"/>
    <x v="3"/>
    <s v="Saturday"/>
    <n v="1"/>
    <s v="Evening"/>
    <n v="1.833333333333333"/>
    <s v="Market Street"/>
    <n v="60"/>
    <x v="1"/>
    <n v="1"/>
    <n v="0"/>
    <x v="0"/>
    <n v="26.9"/>
    <n v="23.63"/>
    <s v="CARD"/>
    <x v="0"/>
    <s v="No Rain"/>
  </r>
  <r>
    <s v="S00215"/>
    <x v="2"/>
    <x v="212"/>
    <d v="2025-08-04T01:07:00"/>
    <n v="2.2833333333333332"/>
    <n v="42.41"/>
    <b v="0"/>
    <d v="2025-08-03T00:00:00"/>
    <x v="9"/>
    <s v="Sunday"/>
    <n v="1"/>
    <s v="Late Night"/>
    <n v="2.2833333333333332"/>
    <s v="Railway Station"/>
    <n v="100"/>
    <x v="2"/>
    <n v="1"/>
    <n v="0"/>
    <x v="0"/>
    <n v="27.2"/>
    <n v="42.41"/>
    <s v="CARD"/>
    <x v="0"/>
    <s v="No Rain"/>
  </r>
  <r>
    <s v="S00216"/>
    <x v="0"/>
    <x v="213"/>
    <d v="2025-08-04T18:02:00"/>
    <n v="4.8833333333333337"/>
    <n v="76.69"/>
    <b v="0"/>
    <d v="2025-08-04T00:00:00"/>
    <x v="0"/>
    <s v="Monday"/>
    <n v="0"/>
    <s v="Afternoon"/>
    <n v="4.8833333333333337"/>
    <s v="Park Avenue"/>
    <n v="70"/>
    <x v="0"/>
    <n v="0"/>
    <n v="0"/>
    <x v="1"/>
    <n v="30.3"/>
    <n v="76.69"/>
    <s v="UPI"/>
    <x v="0"/>
    <s v="Rain"/>
  </r>
  <r>
    <s v="S00217"/>
    <x v="4"/>
    <x v="214"/>
    <d v="2025-08-05T17:08:00"/>
    <n v="2.5499999999999998"/>
    <n v="37.72"/>
    <b v="0"/>
    <d v="2025-08-05T00:00:00"/>
    <x v="7"/>
    <s v="Tuesday"/>
    <n v="0"/>
    <s v="Afternoon"/>
    <n v="2.5499999999999998"/>
    <s v="City Centre"/>
    <n v="80"/>
    <x v="1"/>
    <n v="0"/>
    <n v="0"/>
    <x v="1"/>
    <n v="33"/>
    <n v="37.72"/>
    <s v="UPI"/>
    <x v="0"/>
    <s v="Rain"/>
  </r>
  <r>
    <s v="S00218"/>
    <x v="0"/>
    <x v="215"/>
    <d v="2025-08-06T16:45:00"/>
    <n v="3.2666666666666671"/>
    <n v="56.43"/>
    <b v="0"/>
    <d v="2025-08-06T00:00:00"/>
    <x v="0"/>
    <s v="Wednesday"/>
    <n v="0"/>
    <s v="Afternoon"/>
    <n v="3.2666666666666671"/>
    <s v="Park Avenue"/>
    <n v="70"/>
    <x v="0"/>
    <n v="0"/>
    <n v="0"/>
    <x v="0"/>
    <n v="32.1"/>
    <n v="56.43"/>
    <s v="UPI"/>
    <x v="0"/>
    <s v="No Rain"/>
  </r>
  <r>
    <s v="S00219"/>
    <x v="1"/>
    <x v="216"/>
    <d v="2025-08-07T21:11:00"/>
    <n v="3.7333333333333329"/>
    <n v="59.93"/>
    <b v="0"/>
    <d v="2025-08-07T00:00:00"/>
    <x v="2"/>
    <s v="Thursday"/>
    <n v="0"/>
    <s v="Evening"/>
    <n v="3.7333333333333329"/>
    <s v="Market Street"/>
    <n v="60"/>
    <x v="1"/>
    <n v="0"/>
    <n v="0"/>
    <x v="1"/>
    <n v="23.3"/>
    <n v="59.93"/>
    <s v="UPI"/>
    <x v="0"/>
    <s v="Rain"/>
  </r>
  <r>
    <s v="S00220"/>
    <x v="1"/>
    <x v="217"/>
    <d v="2025-08-08T10:30:00"/>
    <n v="3.2"/>
    <n v="58.65"/>
    <b v="0"/>
    <d v="2025-08-08T00:00:00"/>
    <x v="1"/>
    <s v="Friday"/>
    <n v="0"/>
    <s v="Morning"/>
    <n v="3.2"/>
    <s v="Market Street"/>
    <n v="60"/>
    <x v="1"/>
    <n v="0"/>
    <n v="0"/>
    <x v="0"/>
    <n v="34"/>
    <n v="58.65"/>
    <s v="UPI"/>
    <x v="0"/>
    <s v="No Rain"/>
  </r>
  <r>
    <s v="S00221"/>
    <x v="2"/>
    <x v="218"/>
    <d v="2025-08-09T23:58:00"/>
    <n v="2.1333333333333329"/>
    <n v="40.93"/>
    <b v="0"/>
    <d v="2025-08-09T00:00:00"/>
    <x v="13"/>
    <s v="Saturday"/>
    <n v="1"/>
    <s v="Late Night"/>
    <n v="2.1333333333333329"/>
    <s v="Railway Station"/>
    <n v="100"/>
    <x v="2"/>
    <n v="1"/>
    <n v="0"/>
    <x v="0"/>
    <n v="32.299999999999997"/>
    <n v="40.93"/>
    <s v="UPI"/>
    <x v="0"/>
    <s v="No Rain"/>
  </r>
  <r>
    <s v="S00222"/>
    <x v="3"/>
    <x v="219"/>
    <d v="2025-08-10T16:42:00"/>
    <n v="0.25"/>
    <n v="13.55"/>
    <b v="0"/>
    <d v="2025-08-10T00:00:00"/>
    <x v="11"/>
    <s v="Sunday"/>
    <n v="1"/>
    <s v="Afternoon"/>
    <n v="0.25"/>
    <s v="Hospital Road"/>
    <n v="50"/>
    <x v="3"/>
    <n v="1"/>
    <n v="0"/>
    <x v="1"/>
    <n v="32.4"/>
    <n v="13.55"/>
    <s v="UPI"/>
    <x v="0"/>
    <s v="Rain"/>
  </r>
  <r>
    <s v="S00223"/>
    <x v="1"/>
    <x v="220"/>
    <d v="2025-08-11T21:20:00"/>
    <n v="0.68333333333333335"/>
    <n v="10"/>
    <b v="0"/>
    <d v="2025-08-11T00:00:00"/>
    <x v="3"/>
    <s v="Monday"/>
    <n v="0"/>
    <s v="Evening"/>
    <n v="0.68333333333333335"/>
    <s v="Market Street"/>
    <n v="60"/>
    <x v="1"/>
    <n v="0"/>
    <n v="0"/>
    <x v="1"/>
    <n v="39.6"/>
    <n v="10"/>
    <s v="UPI"/>
    <x v="0"/>
    <s v="Rain"/>
  </r>
  <r>
    <s v="S00224"/>
    <x v="2"/>
    <x v="221"/>
    <d v="2025-08-12T22:35:00"/>
    <n v="3.5666666666666669"/>
    <n v="61.69"/>
    <b v="0"/>
    <d v="2025-08-12T00:00:00"/>
    <x v="8"/>
    <s v="Tuesday"/>
    <n v="0"/>
    <s v="Evening"/>
    <n v="3.5666666666666669"/>
    <s v="Railway Station"/>
    <n v="100"/>
    <x v="2"/>
    <n v="0"/>
    <n v="0"/>
    <x v="0"/>
    <n v="38.6"/>
    <n v="61.69"/>
    <s v="UPI"/>
    <x v="0"/>
    <s v="No Rain"/>
  </r>
  <r>
    <s v="S00225"/>
    <x v="1"/>
    <x v="222"/>
    <d v="2025-08-13T12:56:00"/>
    <n v="0.76666666666666672"/>
    <n v="16.12"/>
    <b v="0"/>
    <d v="2025-08-13T00:00:00"/>
    <x v="4"/>
    <s v="Wednesday"/>
    <n v="0"/>
    <s v="Afternoon"/>
    <n v="0.76666666666666672"/>
    <s v="Market Street"/>
    <n v="60"/>
    <x v="1"/>
    <n v="0"/>
    <n v="0"/>
    <x v="0"/>
    <n v="32"/>
    <n v="16.12"/>
    <s v="UPI"/>
    <x v="0"/>
    <s v="No Rain"/>
  </r>
  <r>
    <s v="S00226"/>
    <x v="0"/>
    <x v="223"/>
    <d v="2025-08-14T14:56:00"/>
    <n v="0.73333333333333328"/>
    <n v="18.079999999999998"/>
    <b v="0"/>
    <d v="2025-08-14T00:00:00"/>
    <x v="7"/>
    <s v="Thursday"/>
    <n v="0"/>
    <s v="Afternoon"/>
    <n v="0.73333333333333328"/>
    <s v="Park Avenue"/>
    <n v="70"/>
    <x v="0"/>
    <n v="0"/>
    <n v="0"/>
    <x v="0"/>
    <n v="28.8"/>
    <n v="18.079999999999998"/>
    <s v="UPI"/>
    <x v="0"/>
    <s v="No Rain"/>
  </r>
  <r>
    <s v="S00227"/>
    <x v="4"/>
    <x v="224"/>
    <d v="2025-08-15T22:49:00"/>
    <n v="3.083333333333333"/>
    <n v="51.49"/>
    <b v="0"/>
    <d v="2025-08-15T00:00:00"/>
    <x v="8"/>
    <s v="Friday"/>
    <n v="0"/>
    <s v="Evening"/>
    <n v="3.083333333333333"/>
    <s v="City Centre"/>
    <n v="80"/>
    <x v="1"/>
    <n v="1"/>
    <n v="0"/>
    <x v="1"/>
    <n v="30.9"/>
    <n v="51.49"/>
    <s v="CASH"/>
    <x v="0"/>
    <s v="Rain"/>
  </r>
  <r>
    <s v="S00228"/>
    <x v="0"/>
    <x v="225"/>
    <d v="2025-08-16T21:44:00"/>
    <n v="0.55000000000000004"/>
    <n v="14.93"/>
    <b v="0"/>
    <d v="2025-08-16T00:00:00"/>
    <x v="13"/>
    <s v="Saturday"/>
    <n v="1"/>
    <s v="Late Night"/>
    <n v="0.55000000000000004"/>
    <s v="Park Avenue"/>
    <n v="70"/>
    <x v="0"/>
    <n v="1"/>
    <n v="0"/>
    <x v="0"/>
    <n v="29.2"/>
    <n v="14.93"/>
    <s v="CARD"/>
    <x v="0"/>
    <s v="No Rain"/>
  </r>
  <r>
    <s v="S00229"/>
    <x v="2"/>
    <x v="226"/>
    <d v="2025-08-17T21:57:00"/>
    <n v="2.0666666666666669"/>
    <n v="42.02"/>
    <b v="0"/>
    <d v="2025-08-17T00:00:00"/>
    <x v="8"/>
    <s v="Sunday"/>
    <n v="1"/>
    <s v="Evening"/>
    <n v="2.0666666666666669"/>
    <s v="Railway Station"/>
    <n v="100"/>
    <x v="2"/>
    <n v="1"/>
    <n v="0"/>
    <x v="0"/>
    <n v="26.1"/>
    <n v="42.02"/>
    <s v="UPI"/>
    <x v="0"/>
    <s v="No Rain"/>
  </r>
  <r>
    <s v="S00230"/>
    <x v="4"/>
    <x v="227"/>
    <d v="2025-08-18T11:40:00"/>
    <n v="3.1333333333333329"/>
    <n v="51.8"/>
    <b v="0"/>
    <d v="2025-08-18T00:00:00"/>
    <x v="10"/>
    <s v="Monday"/>
    <n v="0"/>
    <s v="Morning"/>
    <n v="3.1333333333333329"/>
    <s v="City Centre"/>
    <n v="80"/>
    <x v="1"/>
    <n v="0"/>
    <n v="0"/>
    <x v="0"/>
    <n v="27.9"/>
    <n v="51.8"/>
    <s v="UPI"/>
    <x v="0"/>
    <s v="No Rain"/>
  </r>
  <r>
    <s v="S00231"/>
    <x v="3"/>
    <x v="228"/>
    <d v="2025-08-19T20:17:00"/>
    <n v="3.25"/>
    <n v="56.19"/>
    <b v="0"/>
    <d v="2025-08-19T00:00:00"/>
    <x v="2"/>
    <s v="Tuesday"/>
    <n v="0"/>
    <s v="Evening"/>
    <n v="3.25"/>
    <s v="Hospital Road"/>
    <n v="50"/>
    <x v="3"/>
    <n v="0"/>
    <n v="0"/>
    <x v="0"/>
    <n v="30.7"/>
    <n v="56.19"/>
    <s v="CARD"/>
    <x v="0"/>
    <s v="No Rain"/>
  </r>
  <r>
    <s v="S00232"/>
    <x v="0"/>
    <x v="229"/>
    <d v="2025-08-20T15:52:00"/>
    <n v="4.3"/>
    <n v="72.92"/>
    <b v="0"/>
    <d v="2025-08-20T00:00:00"/>
    <x v="14"/>
    <s v="Wednesday"/>
    <n v="0"/>
    <s v="Morning"/>
    <n v="4.3"/>
    <s v="Park Avenue"/>
    <n v="70"/>
    <x v="0"/>
    <n v="0"/>
    <n v="0"/>
    <x v="1"/>
    <n v="23.6"/>
    <n v="72.92"/>
    <s v="UPI"/>
    <x v="0"/>
    <s v="Rain"/>
  </r>
  <r>
    <s v="S00233"/>
    <x v="1"/>
    <x v="230"/>
    <d v="2025-08-21T09:37:00"/>
    <n v="3.2833333333333332"/>
    <n v="60.65"/>
    <b v="0"/>
    <d v="2025-08-21T00:00:00"/>
    <x v="6"/>
    <s v="Thursday"/>
    <n v="0"/>
    <s v="Morning"/>
    <n v="3.2833333333333332"/>
    <s v="Market Street"/>
    <n v="60"/>
    <x v="1"/>
    <n v="0"/>
    <n v="0"/>
    <x v="0"/>
    <n v="38.1"/>
    <n v="60.65"/>
    <s v="UPI"/>
    <x v="0"/>
    <s v="No Rain"/>
  </r>
  <r>
    <s v="S00234"/>
    <x v="4"/>
    <x v="231"/>
    <d v="2025-08-22T14:05:00"/>
    <n v="1.6166666666666669"/>
    <n v="29.84"/>
    <b v="0"/>
    <d v="2025-08-22T00:00:00"/>
    <x v="4"/>
    <s v="Friday"/>
    <n v="0"/>
    <s v="Afternoon"/>
    <n v="1.6166666666666669"/>
    <s v="City Centre"/>
    <n v="80"/>
    <x v="1"/>
    <n v="0"/>
    <n v="0"/>
    <x v="0"/>
    <n v="32.299999999999997"/>
    <n v="29.84"/>
    <s v="UPI"/>
    <x v="0"/>
    <s v="No Rain"/>
  </r>
  <r>
    <s v="S00235"/>
    <x v="4"/>
    <x v="232"/>
    <d v="2025-08-23T12:26:00"/>
    <n v="2.6166666666666671"/>
    <n v="38.67"/>
    <b v="0"/>
    <d v="2025-08-23T00:00:00"/>
    <x v="16"/>
    <s v="Saturday"/>
    <n v="1"/>
    <s v="Morning"/>
    <n v="2.6166666666666671"/>
    <s v="City Centre"/>
    <n v="80"/>
    <x v="1"/>
    <n v="1"/>
    <n v="0"/>
    <x v="0"/>
    <n v="34.299999999999997"/>
    <n v="38.67"/>
    <s v="CASH"/>
    <x v="0"/>
    <s v="No Rain"/>
  </r>
  <r>
    <s v="S00236"/>
    <x v="2"/>
    <x v="233"/>
    <d v="2025-08-24T13:05:00"/>
    <n v="2.2333333333333329"/>
    <n v="45.08"/>
    <b v="0"/>
    <d v="2025-08-24T00:00:00"/>
    <x v="5"/>
    <s v="Sunday"/>
    <n v="1"/>
    <s v="Morning"/>
    <n v="2.2333333333333329"/>
    <s v="Railway Station"/>
    <n v="100"/>
    <x v="2"/>
    <n v="1"/>
    <n v="0"/>
    <x v="0"/>
    <n v="20.8"/>
    <n v="45.08"/>
    <s v="UPI"/>
    <x v="0"/>
    <s v="No Rain"/>
  </r>
  <r>
    <s v="S00237"/>
    <x v="3"/>
    <x v="234"/>
    <d v="2025-08-25T20:35:00"/>
    <n v="2.166666666666667"/>
    <n v="41.94"/>
    <b v="0"/>
    <d v="2025-08-25T00:00:00"/>
    <x v="12"/>
    <s v="Monday"/>
    <n v="0"/>
    <s v="Evening"/>
    <n v="2.166666666666667"/>
    <s v="Hospital Road"/>
    <n v="50"/>
    <x v="3"/>
    <n v="0"/>
    <n v="0"/>
    <x v="0"/>
    <n v="28.9"/>
    <n v="41.94"/>
    <s v="UPI"/>
    <x v="0"/>
    <s v="No Rain"/>
  </r>
  <r>
    <s v="S00238"/>
    <x v="0"/>
    <x v="235"/>
    <d v="2025-08-26T22:06:00"/>
    <n v="1.95"/>
    <n v="21.91"/>
    <b v="0"/>
    <d v="2025-08-26T00:00:00"/>
    <x v="3"/>
    <s v="Tuesday"/>
    <n v="0"/>
    <s v="Evening"/>
    <n v="1.95"/>
    <s v="Park Avenue"/>
    <n v="70"/>
    <x v="0"/>
    <n v="0"/>
    <n v="0"/>
    <x v="0"/>
    <n v="32.4"/>
    <n v="21.91"/>
    <s v="CARD"/>
    <x v="0"/>
    <s v="No Rain"/>
  </r>
  <r>
    <s v="S00239"/>
    <x v="4"/>
    <x v="236"/>
    <d v="2025-08-27T10:28:00"/>
    <n v="3.583333333333333"/>
    <n v="53.3"/>
    <b v="0"/>
    <d v="2025-08-27T00:00:00"/>
    <x v="6"/>
    <s v="Wednesday"/>
    <n v="0"/>
    <s v="Morning"/>
    <n v="3.583333333333333"/>
    <s v="City Centre"/>
    <n v="80"/>
    <x v="1"/>
    <n v="0"/>
    <n v="0"/>
    <x v="0"/>
    <n v="37"/>
    <n v="53.3"/>
    <s v="CARD"/>
    <x v="0"/>
    <s v="No Rain"/>
  </r>
  <r>
    <s v="S00240"/>
    <x v="2"/>
    <x v="237"/>
    <d v="2025-08-28T22:08:00"/>
    <n v="1.85"/>
    <n v="21.5"/>
    <b v="0"/>
    <d v="2025-08-28T00:00:00"/>
    <x v="3"/>
    <s v="Thursday"/>
    <n v="0"/>
    <s v="Evening"/>
    <n v="1.85"/>
    <s v="Railway Station"/>
    <n v="100"/>
    <x v="2"/>
    <n v="0"/>
    <n v="0"/>
    <x v="0"/>
    <n v="29.5"/>
    <n v="21.5"/>
    <s v="UPI"/>
    <x v="0"/>
    <s v="No Rain"/>
  </r>
  <r>
    <s v="S00241"/>
    <x v="3"/>
    <x v="238"/>
    <d v="2025-08-29T21:05:00"/>
    <n v="1.6333333333333331"/>
    <n v="25.41"/>
    <b v="0"/>
    <d v="2025-08-29T00:00:00"/>
    <x v="8"/>
    <s v="Friday"/>
    <n v="0"/>
    <s v="Evening"/>
    <n v="1.6333333333333331"/>
    <s v="Hospital Road"/>
    <n v="50"/>
    <x v="3"/>
    <n v="0"/>
    <n v="0"/>
    <x v="0"/>
    <n v="30.3"/>
    <n v="25.41"/>
    <s v="CASH"/>
    <x v="0"/>
    <s v="No Rain"/>
  </r>
  <r>
    <s v="S00242"/>
    <x v="1"/>
    <x v="239"/>
    <d v="2025-08-30T12:29:00"/>
    <n v="0.73333333333333328"/>
    <n v="13.07"/>
    <b v="0"/>
    <d v="2025-08-30T00:00:00"/>
    <x v="14"/>
    <s v="Saturday"/>
    <n v="1"/>
    <s v="Morning"/>
    <n v="0.73333333333333328"/>
    <s v="Market Street"/>
    <n v="60"/>
    <x v="1"/>
    <n v="1"/>
    <n v="0"/>
    <x v="0"/>
    <n v="31.8"/>
    <n v="13.07"/>
    <s v="CARD"/>
    <x v="0"/>
    <s v="No Rain"/>
  </r>
  <r>
    <s v="S00243"/>
    <x v="0"/>
    <x v="240"/>
    <d v="2025-09-01T00:52:00"/>
    <n v="3.916666666666667"/>
    <n v="61.16"/>
    <b v="0"/>
    <d v="2025-08-31T00:00:00"/>
    <x v="3"/>
    <s v="Sunday"/>
    <n v="1"/>
    <s v="Evening"/>
    <n v="3.916666666666667"/>
    <s v="Park Avenue"/>
    <n v="70"/>
    <x v="0"/>
    <n v="1"/>
    <n v="0"/>
    <x v="0"/>
    <n v="32.299999999999997"/>
    <n v="61.16"/>
    <s v="CARD"/>
    <x v="0"/>
    <s v="No Rain"/>
  </r>
  <r>
    <s v="S00244"/>
    <x v="3"/>
    <x v="241"/>
    <d v="2025-09-01T12:15:00"/>
    <n v="0.81666666666666665"/>
    <n v="12.81"/>
    <b v="0"/>
    <d v="2025-09-01T00:00:00"/>
    <x v="14"/>
    <s v="Monday"/>
    <n v="0"/>
    <s v="Morning"/>
    <n v="0.81666666666666665"/>
    <s v="Hospital Road"/>
    <n v="50"/>
    <x v="3"/>
    <n v="0"/>
    <n v="0"/>
    <x v="0"/>
    <n v="25.3"/>
    <n v="12.81"/>
    <s v="UPI"/>
    <x v="0"/>
    <s v="No Rain"/>
  </r>
  <r>
    <s v="S00245"/>
    <x v="3"/>
    <x v="242"/>
    <d v="2025-09-02T17:06:00"/>
    <n v="3.7333333333333329"/>
    <n v="55.1"/>
    <b v="0"/>
    <d v="2025-09-02T00:00:00"/>
    <x v="0"/>
    <s v="Tuesday"/>
    <n v="0"/>
    <s v="Afternoon"/>
    <n v="3.7333333333333329"/>
    <s v="Hospital Road"/>
    <n v="50"/>
    <x v="3"/>
    <n v="0"/>
    <n v="0"/>
    <x v="0"/>
    <n v="28.1"/>
    <n v="55.1"/>
    <s v="CASH"/>
    <x v="0"/>
    <s v="No Rain"/>
  </r>
  <r>
    <s v="S00246"/>
    <x v="3"/>
    <x v="243"/>
    <d v="2025-09-03T13:46:00"/>
    <n v="1.416666666666667"/>
    <n v="26.12"/>
    <b v="0"/>
    <d v="2025-09-03T00:00:00"/>
    <x v="4"/>
    <s v="Wednesday"/>
    <n v="0"/>
    <s v="Afternoon"/>
    <n v="1.416666666666667"/>
    <s v="Hospital Road"/>
    <n v="50"/>
    <x v="3"/>
    <n v="0"/>
    <n v="0"/>
    <x v="0"/>
    <n v="33.700000000000003"/>
    <n v="26.12"/>
    <s v="CASH"/>
    <x v="0"/>
    <s v="No Rain"/>
  </r>
  <r>
    <s v="S00247"/>
    <x v="1"/>
    <x v="244"/>
    <d v="2025-09-04T17:18:00"/>
    <n v="5.2833333333333332"/>
    <n v="85.59"/>
    <b v="0"/>
    <d v="2025-09-04T00:00:00"/>
    <x v="4"/>
    <s v="Thursday"/>
    <n v="0"/>
    <s v="Afternoon"/>
    <n v="5.2833333333333332"/>
    <s v="Market Street"/>
    <n v="60"/>
    <x v="1"/>
    <n v="0"/>
    <n v="0"/>
    <x v="0"/>
    <n v="34"/>
    <n v="85.59"/>
    <s v="UPI"/>
    <x v="0"/>
    <s v="No Rain"/>
  </r>
  <r>
    <s v="S00248"/>
    <x v="3"/>
    <x v="245"/>
    <d v="2025-09-06T05:06:00"/>
    <n v="7.35"/>
    <n v="116.76"/>
    <b v="0"/>
    <d v="2025-09-05T00:00:00"/>
    <x v="13"/>
    <s v="Friday"/>
    <n v="0"/>
    <s v="Late Night"/>
    <n v="7.35"/>
    <s v="Hospital Road"/>
    <n v="50"/>
    <x v="3"/>
    <n v="0"/>
    <n v="1"/>
    <x v="0"/>
    <n v="30.5"/>
    <n v="116.76"/>
    <s v="UPI"/>
    <x v="1"/>
    <s v="No Rain"/>
  </r>
  <r>
    <s v="S00249"/>
    <x v="0"/>
    <x v="246"/>
    <d v="2025-09-06T10:32:00"/>
    <n v="0.8"/>
    <n v="12"/>
    <b v="0"/>
    <d v="2025-09-06T00:00:00"/>
    <x v="16"/>
    <s v="Saturday"/>
    <n v="1"/>
    <s v="Morning"/>
    <n v="0.8"/>
    <s v="Park Avenue"/>
    <n v="70"/>
    <x v="0"/>
    <n v="1"/>
    <n v="0"/>
    <x v="0"/>
    <n v="30.2"/>
    <n v="12"/>
    <s v="CASH"/>
    <x v="0"/>
    <s v="No Rain"/>
  </r>
  <r>
    <s v="S00250"/>
    <x v="4"/>
    <x v="247"/>
    <d v="2025-09-08T01:02:00"/>
    <n v="3.5166666666666671"/>
    <n v="53.86"/>
    <b v="0"/>
    <d v="2025-09-07T00:00:00"/>
    <x v="13"/>
    <s v="Sunday"/>
    <n v="1"/>
    <s v="Late Night"/>
    <n v="3.5166666666666671"/>
    <s v="City Centre"/>
    <n v="80"/>
    <x v="1"/>
    <n v="1"/>
    <n v="0"/>
    <x v="1"/>
    <n v="27.2"/>
    <n v="53.86"/>
    <s v="UPI"/>
    <x v="0"/>
    <s v="Rain"/>
  </r>
  <r>
    <s v="S00251"/>
    <x v="1"/>
    <x v="248"/>
    <d v="2025-09-08T13:44:00"/>
    <n v="0.93333333333333335"/>
    <n v="10"/>
    <b v="0"/>
    <d v="2025-09-08T00:00:00"/>
    <x v="4"/>
    <s v="Monday"/>
    <n v="0"/>
    <s v="Afternoon"/>
    <n v="0.93333333333333335"/>
    <s v="Market Street"/>
    <n v="60"/>
    <x v="1"/>
    <n v="0"/>
    <n v="0"/>
    <x v="0"/>
    <n v="30.8"/>
    <n v="10"/>
    <s v="CASH"/>
    <x v="0"/>
    <s v="No Rain"/>
  </r>
  <r>
    <s v="S00252"/>
    <x v="4"/>
    <x v="249"/>
    <d v="2025-09-09T09:59:00"/>
    <n v="1.2333333333333329"/>
    <n v="24.5"/>
    <b v="0"/>
    <d v="2025-09-09T00:00:00"/>
    <x v="10"/>
    <s v="Tuesday"/>
    <n v="0"/>
    <s v="Morning"/>
    <n v="1.2333333333333329"/>
    <s v="City Centre"/>
    <n v="80"/>
    <x v="1"/>
    <n v="0"/>
    <n v="0"/>
    <x v="0"/>
    <n v="26"/>
    <n v="24.5"/>
    <s v="UPI"/>
    <x v="0"/>
    <s v="No Rain"/>
  </r>
  <r>
    <s v="S00253"/>
    <x v="3"/>
    <x v="250"/>
    <d v="2025-09-10T13:13:00"/>
    <n v="4.4000000000000004"/>
    <n v="71.38"/>
    <b v="0"/>
    <d v="2025-09-10T00:00:00"/>
    <x v="10"/>
    <s v="Wednesday"/>
    <n v="0"/>
    <s v="Morning"/>
    <n v="4.4000000000000004"/>
    <s v="Hospital Road"/>
    <n v="50"/>
    <x v="3"/>
    <n v="0"/>
    <n v="0"/>
    <x v="0"/>
    <n v="29.7"/>
    <n v="71.38"/>
    <s v="CARD"/>
    <x v="0"/>
    <s v="No Rain"/>
  </r>
  <r>
    <s v="S00254"/>
    <x v="2"/>
    <x v="251"/>
    <d v="2025-09-11T19:22:00"/>
    <n v="2.7833333333333332"/>
    <n v="39.08"/>
    <b v="0"/>
    <d v="2025-09-11T00:00:00"/>
    <x v="11"/>
    <s v="Thursday"/>
    <n v="0"/>
    <s v="Afternoon"/>
    <n v="2.7833333333333332"/>
    <s v="Railway Station"/>
    <n v="100"/>
    <x v="2"/>
    <n v="0"/>
    <n v="0"/>
    <x v="0"/>
    <n v="27.8"/>
    <n v="39.08"/>
    <s v="CASH"/>
    <x v="0"/>
    <s v="No Rain"/>
  </r>
  <r>
    <s v="S00255"/>
    <x v="2"/>
    <x v="252"/>
    <d v="2025-09-12T17:01:00"/>
    <n v="3.416666666666667"/>
    <n v="52.09"/>
    <b v="0"/>
    <d v="2025-09-12T00:00:00"/>
    <x v="0"/>
    <s v="Friday"/>
    <n v="0"/>
    <s v="Afternoon"/>
    <n v="3.416666666666667"/>
    <s v="Railway Station"/>
    <n v="100"/>
    <x v="2"/>
    <n v="0"/>
    <n v="1"/>
    <x v="1"/>
    <n v="26.1"/>
    <n v="52.09"/>
    <s v="UPI"/>
    <x v="1"/>
    <s v="Rain"/>
  </r>
  <r>
    <s v="S00256"/>
    <x v="2"/>
    <x v="253"/>
    <d v="2025-09-13T22:25:00"/>
    <n v="0.25"/>
    <n v="10"/>
    <b v="0"/>
    <d v="2025-09-13T00:00:00"/>
    <x v="9"/>
    <s v="Saturday"/>
    <n v="1"/>
    <s v="Late Night"/>
    <n v="0.25"/>
    <s v="Railway Station"/>
    <n v="100"/>
    <x v="2"/>
    <n v="1"/>
    <n v="0"/>
    <x v="0"/>
    <n v="31.1"/>
    <n v="10"/>
    <s v="UPI"/>
    <x v="0"/>
    <s v="No Rain"/>
  </r>
  <r>
    <s v="S00257"/>
    <x v="3"/>
    <x v="254"/>
    <d v="2025-09-14T19:07:00"/>
    <n v="0.35"/>
    <n v="10"/>
    <b v="0"/>
    <d v="2025-09-14T00:00:00"/>
    <x v="12"/>
    <s v="Sunday"/>
    <n v="1"/>
    <s v="Evening"/>
    <n v="0.35"/>
    <s v="Hospital Road"/>
    <n v="50"/>
    <x v="3"/>
    <n v="1"/>
    <n v="0"/>
    <x v="0"/>
    <n v="26.6"/>
    <n v="10"/>
    <s v="CARD"/>
    <x v="0"/>
    <s v="No Rain"/>
  </r>
  <r>
    <s v="S00258"/>
    <x v="4"/>
    <x v="255"/>
    <d v="2025-09-15T13:07:00"/>
    <n v="1.5"/>
    <n v="24.7"/>
    <b v="0"/>
    <d v="2025-09-15T00:00:00"/>
    <x v="14"/>
    <s v="Monday"/>
    <n v="0"/>
    <s v="Morning"/>
    <n v="1.5"/>
    <s v="City Centre"/>
    <n v="80"/>
    <x v="1"/>
    <n v="0"/>
    <n v="0"/>
    <x v="0"/>
    <n v="29"/>
    <n v="24.7"/>
    <s v="CARD"/>
    <x v="0"/>
    <s v="No Rain"/>
  </r>
  <r>
    <s v="S00259"/>
    <x v="1"/>
    <x v="256"/>
    <d v="2025-09-16T09:43:00"/>
    <n v="0.85"/>
    <n v="10.06"/>
    <b v="0"/>
    <d v="2025-09-16T00:00:00"/>
    <x v="10"/>
    <s v="Tuesday"/>
    <n v="0"/>
    <s v="Morning"/>
    <n v="0.85"/>
    <s v="Market Street"/>
    <n v="60"/>
    <x v="1"/>
    <n v="0"/>
    <n v="0"/>
    <x v="0"/>
    <n v="27.7"/>
    <n v="10.06"/>
    <s v="CASH"/>
    <x v="0"/>
    <s v="No Rain"/>
  </r>
  <r>
    <s v="S00260"/>
    <x v="3"/>
    <x v="257"/>
    <d v="2025-09-17T23:30:00"/>
    <n v="1.55"/>
    <n v="32.14"/>
    <b v="0"/>
    <d v="2025-09-17T00:00:00"/>
    <x v="13"/>
    <s v="Wednesday"/>
    <n v="0"/>
    <s v="Late Night"/>
    <n v="1.55"/>
    <s v="Hospital Road"/>
    <n v="50"/>
    <x v="3"/>
    <n v="0"/>
    <n v="0"/>
    <x v="1"/>
    <n v="30.8"/>
    <n v="32.14"/>
    <s v="CARD"/>
    <x v="0"/>
    <s v="Rain"/>
  </r>
  <r>
    <s v="S00261"/>
    <x v="1"/>
    <x v="258"/>
    <d v="2025-09-18T22:39:00"/>
    <n v="4.0999999999999996"/>
    <n v="68.39"/>
    <b v="0"/>
    <d v="2025-09-18T00:00:00"/>
    <x v="12"/>
    <s v="Thursday"/>
    <n v="0"/>
    <s v="Evening"/>
    <n v="4.0999999999999996"/>
    <s v="Market Street"/>
    <n v="60"/>
    <x v="1"/>
    <n v="0"/>
    <n v="0"/>
    <x v="0"/>
    <n v="30"/>
    <n v="68.39"/>
    <s v="CARD"/>
    <x v="0"/>
    <s v="No Rain"/>
  </r>
  <r>
    <s v="S00262"/>
    <x v="3"/>
    <x v="259"/>
    <d v="2025-09-19T19:58:00"/>
    <n v="0.35"/>
    <n v="10"/>
    <b v="0"/>
    <d v="2025-09-19T00:00:00"/>
    <x v="8"/>
    <s v="Friday"/>
    <n v="0"/>
    <s v="Evening"/>
    <n v="0.35"/>
    <s v="Hospital Road"/>
    <n v="50"/>
    <x v="3"/>
    <n v="0"/>
    <n v="1"/>
    <x v="0"/>
    <n v="34.5"/>
    <n v="10"/>
    <s v="UPI"/>
    <x v="1"/>
    <s v="No Rain"/>
  </r>
  <r>
    <s v="S00263"/>
    <x v="3"/>
    <x v="260"/>
    <d v="2025-09-20T22:49:00"/>
    <n v="1.2"/>
    <n v="22.48"/>
    <b v="0"/>
    <d v="2025-09-20T00:00:00"/>
    <x v="13"/>
    <s v="Saturday"/>
    <n v="1"/>
    <s v="Late Night"/>
    <n v="1.2"/>
    <s v="Hospital Road"/>
    <n v="50"/>
    <x v="3"/>
    <n v="1"/>
    <n v="0"/>
    <x v="1"/>
    <n v="28.2"/>
    <n v="22.48"/>
    <s v="CARD"/>
    <x v="0"/>
    <s v="Rain"/>
  </r>
  <r>
    <s v="S00264"/>
    <x v="0"/>
    <x v="261"/>
    <d v="2025-09-21T10:10:00"/>
    <n v="1.4833333333333329"/>
    <n v="23.67"/>
    <b v="0"/>
    <d v="2025-09-21T00:00:00"/>
    <x v="10"/>
    <s v="Sunday"/>
    <n v="1"/>
    <s v="Morning"/>
    <n v="1.4833333333333329"/>
    <s v="Park Avenue"/>
    <n v="70"/>
    <x v="0"/>
    <n v="1"/>
    <n v="0"/>
    <x v="0"/>
    <n v="34.9"/>
    <n v="23.67"/>
    <s v="UPI"/>
    <x v="0"/>
    <s v="No Rain"/>
  </r>
  <r>
    <s v="S00265"/>
    <x v="1"/>
    <x v="262"/>
    <d v="2025-09-22T12:10:00"/>
    <n v="4.7833333333333332"/>
    <n v="62.07"/>
    <b v="0"/>
    <d v="2025-09-22T00:00:00"/>
    <x v="1"/>
    <s v="Monday"/>
    <n v="0"/>
    <s v="Morning"/>
    <n v="4.7833333333333332"/>
    <s v="Market Street"/>
    <n v="60"/>
    <x v="1"/>
    <n v="0"/>
    <n v="0"/>
    <x v="0"/>
    <n v="27.5"/>
    <n v="62.07"/>
    <s v="UPI"/>
    <x v="0"/>
    <s v="No Rain"/>
  </r>
  <r>
    <s v="S00266"/>
    <x v="1"/>
    <x v="263"/>
    <d v="2025-09-23T21:28:00"/>
    <n v="3.8833333333333329"/>
    <n v="58.64"/>
    <b v="0"/>
    <d v="2025-09-23T00:00:00"/>
    <x v="2"/>
    <s v="Tuesday"/>
    <n v="0"/>
    <s v="Evening"/>
    <n v="3.8833333333333329"/>
    <s v="Market Street"/>
    <n v="60"/>
    <x v="1"/>
    <n v="0"/>
    <n v="0"/>
    <x v="1"/>
    <n v="28"/>
    <n v="58.64"/>
    <s v="UPI"/>
    <x v="0"/>
    <s v="Rain"/>
  </r>
  <r>
    <s v="S00267"/>
    <x v="0"/>
    <x v="264"/>
    <d v="2025-09-24T18:44:00"/>
    <n v="2.5166666666666671"/>
    <n v="44.89"/>
    <b v="0"/>
    <d v="2025-09-24T00:00:00"/>
    <x v="11"/>
    <s v="Wednesday"/>
    <n v="0"/>
    <s v="Afternoon"/>
    <n v="2.5166666666666671"/>
    <s v="Park Avenue"/>
    <n v="70"/>
    <x v="0"/>
    <n v="0"/>
    <n v="0"/>
    <x v="0"/>
    <n v="29"/>
    <n v="44.89"/>
    <s v="CASH"/>
    <x v="0"/>
    <s v="No Rain"/>
  </r>
  <r>
    <s v="S00269"/>
    <x v="4"/>
    <x v="265"/>
    <d v="2025-09-26T10:23:00"/>
    <n v="2.1333333333333329"/>
    <n v="38.11"/>
    <b v="0"/>
    <d v="2025-09-26T00:00:00"/>
    <x v="10"/>
    <s v="Friday"/>
    <n v="0"/>
    <s v="Morning"/>
    <n v="2.1333333333333329"/>
    <s v="City Centre"/>
    <n v="80"/>
    <x v="1"/>
    <n v="0"/>
    <n v="1"/>
    <x v="0"/>
    <n v="29.8"/>
    <n v="38.11"/>
    <s v="CARD"/>
    <x v="1"/>
    <s v="No Rain"/>
  </r>
  <r>
    <s v="S00270"/>
    <x v="2"/>
    <x v="266"/>
    <d v="2025-09-27T20:22:00"/>
    <n v="2.0666666666666669"/>
    <n v="34.85"/>
    <b v="0"/>
    <d v="2025-09-27T00:00:00"/>
    <x v="12"/>
    <s v="Saturday"/>
    <n v="1"/>
    <s v="Evening"/>
    <n v="2.0666666666666669"/>
    <s v="Railway Station"/>
    <n v="100"/>
    <x v="2"/>
    <n v="1"/>
    <n v="0"/>
    <x v="0"/>
    <n v="30.7"/>
    <n v="34.85"/>
    <s v="UPI"/>
    <x v="0"/>
    <s v="No Rain"/>
  </r>
  <r>
    <s v="S00271"/>
    <x v="2"/>
    <x v="267"/>
    <d v="2025-09-28T11:56:00"/>
    <n v="0.95"/>
    <n v="10"/>
    <b v="0"/>
    <d v="2025-09-28T00:00:00"/>
    <x v="5"/>
    <s v="Sunday"/>
    <n v="1"/>
    <s v="Morning"/>
    <n v="0.95"/>
    <s v="Railway Station"/>
    <n v="100"/>
    <x v="2"/>
    <n v="1"/>
    <n v="0"/>
    <x v="0"/>
    <n v="36.700000000000003"/>
    <n v="10"/>
    <s v="UPI"/>
    <x v="0"/>
    <s v="No Rain"/>
  </r>
  <r>
    <s v="S00272"/>
    <x v="2"/>
    <x v="268"/>
    <d v="2025-09-29T13:57:00"/>
    <n v="0.8"/>
    <n v="23.58"/>
    <b v="0"/>
    <d v="2025-09-29T00:00:00"/>
    <x v="0"/>
    <s v="Monday"/>
    <n v="0"/>
    <s v="Afternoon"/>
    <n v="0.8"/>
    <s v="Railway Station"/>
    <n v="100"/>
    <x v="2"/>
    <n v="0"/>
    <n v="0"/>
    <x v="1"/>
    <n v="36.9"/>
    <n v="23.58"/>
    <s v="CARD"/>
    <x v="0"/>
    <s v="Rain"/>
  </r>
  <r>
    <s v="S00273"/>
    <x v="3"/>
    <x v="269"/>
    <d v="2025-09-30T22:57:00"/>
    <n v="2.4500000000000002"/>
    <n v="39.15"/>
    <b v="0"/>
    <d v="2025-09-30T00:00:00"/>
    <x v="3"/>
    <s v="Tuesday"/>
    <n v="0"/>
    <s v="Evening"/>
    <n v="2.4500000000000002"/>
    <s v="Hospital Road"/>
    <n v="50"/>
    <x v="3"/>
    <n v="0"/>
    <n v="0"/>
    <x v="1"/>
    <n v="31.9"/>
    <n v="39.15"/>
    <s v="CARD"/>
    <x v="0"/>
    <s v="Rain"/>
  </r>
  <r>
    <s v="S00274"/>
    <x v="4"/>
    <x v="270"/>
    <m/>
    <m/>
    <n v="10.52"/>
    <b v="1"/>
    <d v="2025-10-01T00:00:00"/>
    <x v="13"/>
    <s v="Wednesday"/>
    <n v="0"/>
    <s v="Late Night"/>
    <m/>
    <s v="City Centre"/>
    <n v="80"/>
    <x v="1"/>
    <n v="0"/>
    <n v="0"/>
    <x v="1"/>
    <n v="33.299999999999997"/>
    <n v="10.52"/>
    <s v="UPI"/>
    <x v="0"/>
    <s v="Rain"/>
  </r>
  <r>
    <s v="S00275"/>
    <x v="2"/>
    <x v="271"/>
    <d v="2025-10-02T23:20:00"/>
    <n v="0.56666666666666665"/>
    <n v="12.39"/>
    <b v="0"/>
    <d v="2025-10-02T00:00:00"/>
    <x v="9"/>
    <s v="Thursday"/>
    <n v="0"/>
    <s v="Late Night"/>
    <n v="0.56666666666666665"/>
    <s v="Railway Station"/>
    <n v="100"/>
    <x v="2"/>
    <n v="1"/>
    <n v="0"/>
    <x v="0"/>
    <n v="30"/>
    <n v="12.39"/>
    <s v="CASH"/>
    <x v="0"/>
    <s v="No Rain"/>
  </r>
  <r>
    <s v="S00276"/>
    <x v="1"/>
    <x v="272"/>
    <d v="2025-10-03T11:34:00"/>
    <n v="2.0166666666666671"/>
    <n v="41.84"/>
    <b v="0"/>
    <d v="2025-10-03T00:00:00"/>
    <x v="16"/>
    <s v="Friday"/>
    <n v="0"/>
    <s v="Morning"/>
    <n v="2.0166666666666671"/>
    <s v="Market Street"/>
    <n v="60"/>
    <x v="1"/>
    <n v="0"/>
    <n v="0"/>
    <x v="1"/>
    <n v="31.6"/>
    <n v="41.84"/>
    <s v="UPI"/>
    <x v="0"/>
    <s v="Rain"/>
  </r>
  <r>
    <s v="S00277"/>
    <x v="0"/>
    <x v="273"/>
    <d v="2025-10-05T04:19:00"/>
    <n v="6.0166666666666666"/>
    <n v="104.13"/>
    <b v="0"/>
    <d v="2025-10-04T00:00:00"/>
    <x v="9"/>
    <s v="Saturday"/>
    <n v="1"/>
    <s v="Late Night"/>
    <n v="6.0166666666666666"/>
    <s v="Park Avenue"/>
    <n v="70"/>
    <x v="0"/>
    <n v="1"/>
    <n v="0"/>
    <x v="0"/>
    <n v="27.1"/>
    <n v="104.13"/>
    <s v="UPI"/>
    <x v="0"/>
    <s v="No Rain"/>
  </r>
  <r>
    <s v="S00278"/>
    <x v="3"/>
    <x v="274"/>
    <d v="2025-10-05T20:37:00"/>
    <n v="0.78333333333333333"/>
    <n v="10.47"/>
    <b v="0"/>
    <d v="2025-10-05T00:00:00"/>
    <x v="8"/>
    <s v="Sunday"/>
    <n v="1"/>
    <s v="Evening"/>
    <n v="0.78333333333333333"/>
    <s v="Hospital Road"/>
    <n v="50"/>
    <x v="3"/>
    <n v="1"/>
    <n v="1"/>
    <x v="0"/>
    <n v="36.9"/>
    <n v="10.47"/>
    <s v="UPI"/>
    <x v="1"/>
    <s v="No Rain"/>
  </r>
  <r>
    <s v="S00279"/>
    <x v="2"/>
    <x v="275"/>
    <d v="2025-10-06T18:57:00"/>
    <n v="1.466666666666667"/>
    <n v="28.86"/>
    <b v="0"/>
    <d v="2025-10-06T00:00:00"/>
    <x v="2"/>
    <s v="Monday"/>
    <n v="0"/>
    <s v="Evening"/>
    <n v="1.466666666666667"/>
    <s v="Railway Station"/>
    <n v="100"/>
    <x v="2"/>
    <n v="0"/>
    <n v="0"/>
    <x v="1"/>
    <n v="31.5"/>
    <n v="28.86"/>
    <s v="UPI"/>
    <x v="0"/>
    <s v="Rain"/>
  </r>
  <r>
    <s v="S00280"/>
    <x v="1"/>
    <x v="276"/>
    <d v="2025-10-08T00:16:00"/>
    <n v="1.8166666666666671"/>
    <n v="25.14"/>
    <b v="0"/>
    <d v="2025-10-07T00:00:00"/>
    <x v="9"/>
    <s v="Tuesday"/>
    <n v="0"/>
    <s v="Late Night"/>
    <n v="1.8166666666666671"/>
    <s v="Market Street"/>
    <n v="60"/>
    <x v="1"/>
    <n v="0"/>
    <n v="0"/>
    <x v="0"/>
    <n v="30.8"/>
    <n v="25.14"/>
    <s v="CASH"/>
    <x v="0"/>
    <s v="No Rain"/>
  </r>
  <r>
    <s v="S00281"/>
    <x v="4"/>
    <x v="277"/>
    <d v="2025-10-08T23:10:00"/>
    <n v="2.9833333333333329"/>
    <n v="40.36"/>
    <b v="0"/>
    <d v="2025-10-08T00:00:00"/>
    <x v="3"/>
    <s v="Wednesday"/>
    <n v="0"/>
    <s v="Evening"/>
    <n v="2.9833333333333329"/>
    <s v="City Centre"/>
    <n v="80"/>
    <x v="1"/>
    <n v="0"/>
    <n v="0"/>
    <x v="1"/>
    <n v="33"/>
    <n v="40.36"/>
    <s v="UPI"/>
    <x v="0"/>
    <s v="Rain"/>
  </r>
  <r>
    <s v="S00282"/>
    <x v="0"/>
    <x v="278"/>
    <d v="2025-10-09T15:27:00"/>
    <n v="0.73333333333333328"/>
    <n v="14.27"/>
    <b v="0"/>
    <d v="2025-10-09T00:00:00"/>
    <x v="7"/>
    <s v="Thursday"/>
    <n v="0"/>
    <s v="Afternoon"/>
    <n v="0.73333333333333328"/>
    <s v="Park Avenue"/>
    <n v="70"/>
    <x v="0"/>
    <n v="0"/>
    <n v="0"/>
    <x v="0"/>
    <n v="40"/>
    <n v="14.27"/>
    <s v="UPI"/>
    <x v="0"/>
    <s v="No Rain"/>
  </r>
  <r>
    <s v="S00283"/>
    <x v="0"/>
    <x v="279"/>
    <d v="2025-10-10T11:08:00"/>
    <n v="4.1500000000000004"/>
    <n v="77.33"/>
    <b v="0"/>
    <d v="2025-10-10T00:00:00"/>
    <x v="6"/>
    <s v="Friday"/>
    <n v="0"/>
    <s v="Morning"/>
    <n v="4.1500000000000004"/>
    <s v="Park Avenue"/>
    <n v="70"/>
    <x v="0"/>
    <n v="0"/>
    <n v="0"/>
    <x v="0"/>
    <n v="32.5"/>
    <n v="77.33"/>
    <s v="UPI"/>
    <x v="0"/>
    <s v="No Rain"/>
  </r>
  <r>
    <s v="S00284"/>
    <x v="0"/>
    <x v="280"/>
    <m/>
    <m/>
    <n v="24.69"/>
    <b v="1"/>
    <d v="2025-10-11T00:00:00"/>
    <x v="8"/>
    <s v="Saturday"/>
    <n v="1"/>
    <s v="Evening"/>
    <m/>
    <s v="Park Avenue"/>
    <n v="70"/>
    <x v="0"/>
    <n v="1"/>
    <n v="0"/>
    <x v="1"/>
    <n v="33.799999999999997"/>
    <n v="24.69"/>
    <s v="UPI"/>
    <x v="0"/>
    <s v="Rain"/>
  </r>
  <r>
    <s v="S00285"/>
    <x v="3"/>
    <x v="281"/>
    <d v="2025-10-12T21:55:00"/>
    <n v="3.35"/>
    <n v="57.98"/>
    <b v="0"/>
    <d v="2025-10-12T00:00:00"/>
    <x v="12"/>
    <s v="Sunday"/>
    <n v="1"/>
    <s v="Evening"/>
    <n v="3.35"/>
    <s v="Hospital Road"/>
    <n v="50"/>
    <x v="3"/>
    <n v="1"/>
    <n v="1"/>
    <x v="1"/>
    <n v="28.1"/>
    <n v="57.98"/>
    <s v="CASH"/>
    <x v="1"/>
    <s v="Rain"/>
  </r>
  <r>
    <s v="S00286"/>
    <x v="2"/>
    <x v="282"/>
    <d v="2025-10-13T12:21:00"/>
    <n v="2.583333333333333"/>
    <n v="35.82"/>
    <b v="0"/>
    <d v="2025-10-13T00:00:00"/>
    <x v="16"/>
    <s v="Monday"/>
    <n v="0"/>
    <s v="Morning"/>
    <n v="2.583333333333333"/>
    <s v="Railway Station"/>
    <n v="100"/>
    <x v="2"/>
    <n v="0"/>
    <n v="0"/>
    <x v="0"/>
    <n v="27.1"/>
    <n v="35.82"/>
    <s v="UPI"/>
    <x v="0"/>
    <s v="No Rain"/>
  </r>
  <r>
    <s v="S00287"/>
    <x v="0"/>
    <x v="283"/>
    <d v="2025-10-14T22:26:00"/>
    <n v="0.3"/>
    <n v="12.58"/>
    <b v="0"/>
    <d v="2025-10-14T00:00:00"/>
    <x v="9"/>
    <s v="Tuesday"/>
    <n v="0"/>
    <s v="Late Night"/>
    <n v="0.3"/>
    <s v="Park Avenue"/>
    <n v="70"/>
    <x v="0"/>
    <n v="0"/>
    <n v="0"/>
    <x v="0"/>
    <n v="32.5"/>
    <n v="12.58"/>
    <s v="UPI"/>
    <x v="0"/>
    <s v="No Rain"/>
  </r>
  <r>
    <s v="S00288"/>
    <x v="2"/>
    <x v="284"/>
    <d v="2025-10-15T13:14:00"/>
    <n v="2.1333333333333329"/>
    <n v="45.75"/>
    <b v="0"/>
    <d v="2025-10-15T00:00:00"/>
    <x v="14"/>
    <s v="Wednesday"/>
    <n v="0"/>
    <s v="Morning"/>
    <n v="2.1333333333333329"/>
    <s v="Railway Station"/>
    <n v="100"/>
    <x v="2"/>
    <n v="0"/>
    <n v="0"/>
    <x v="0"/>
    <n v="24.7"/>
    <n v="45.75"/>
    <s v="UPI"/>
    <x v="0"/>
    <s v="No Rain"/>
  </r>
  <r>
    <s v="S00289"/>
    <x v="2"/>
    <x v="285"/>
    <d v="2025-10-17T00:56:00"/>
    <n v="5.2166666666666668"/>
    <n v="88.99"/>
    <b v="0"/>
    <d v="2025-10-16T00:00:00"/>
    <x v="8"/>
    <s v="Thursday"/>
    <n v="0"/>
    <s v="Evening"/>
    <n v="5.2166666666666668"/>
    <s v="Railway Station"/>
    <n v="100"/>
    <x v="2"/>
    <n v="0"/>
    <n v="0"/>
    <x v="0"/>
    <n v="28.1"/>
    <n v="88.99"/>
    <s v="UPI"/>
    <x v="0"/>
    <s v="No Rain"/>
  </r>
  <r>
    <s v="S00290"/>
    <x v="3"/>
    <x v="286"/>
    <d v="2025-10-17T20:39:00"/>
    <n v="1.2666666666666671"/>
    <n v="24.95"/>
    <b v="0"/>
    <d v="2025-10-17T00:00:00"/>
    <x v="8"/>
    <s v="Friday"/>
    <n v="0"/>
    <s v="Evening"/>
    <n v="1.2666666666666671"/>
    <s v="Hospital Road"/>
    <n v="50"/>
    <x v="3"/>
    <n v="0"/>
    <n v="0"/>
    <x v="0"/>
    <n v="28.5"/>
    <n v="24.95"/>
    <s v="UPI"/>
    <x v="0"/>
    <s v="No Rain"/>
  </r>
  <r>
    <s v="S00291"/>
    <x v="4"/>
    <x v="287"/>
    <d v="2025-10-18T22:34:00"/>
    <n v="2.9833333333333329"/>
    <n v="34.909999999999997"/>
    <b v="0"/>
    <d v="2025-10-18T00:00:00"/>
    <x v="8"/>
    <s v="Saturday"/>
    <n v="1"/>
    <s v="Evening"/>
    <n v="2.9833333333333329"/>
    <s v="City Centre"/>
    <n v="80"/>
    <x v="1"/>
    <n v="1"/>
    <n v="0"/>
    <x v="0"/>
    <n v="30.7"/>
    <n v="34.909999999999997"/>
    <s v="UPI"/>
    <x v="0"/>
    <s v="No Rain"/>
  </r>
  <r>
    <s v="S00292"/>
    <x v="1"/>
    <x v="288"/>
    <d v="2025-10-19T14:10:00"/>
    <n v="2.1333333333333329"/>
    <n v="40.1"/>
    <b v="0"/>
    <d v="2025-10-19T00:00:00"/>
    <x v="4"/>
    <s v="Sunday"/>
    <n v="1"/>
    <s v="Afternoon"/>
    <n v="2.1333333333333329"/>
    <s v="Market Street"/>
    <n v="60"/>
    <x v="1"/>
    <n v="1"/>
    <n v="1"/>
    <x v="0"/>
    <n v="29.9"/>
    <n v="40.1"/>
    <s v="UPI"/>
    <x v="1"/>
    <s v="No Rain"/>
  </r>
  <r>
    <s v="S00293"/>
    <x v="3"/>
    <x v="289"/>
    <d v="2025-10-20T14:28:00"/>
    <n v="0.25"/>
    <n v="11.18"/>
    <b v="0"/>
    <d v="2025-10-20T00:00:00"/>
    <x v="7"/>
    <s v="Monday"/>
    <n v="0"/>
    <s v="Afternoon"/>
    <n v="0.25"/>
    <s v="Hospital Road"/>
    <n v="50"/>
    <x v="3"/>
    <n v="0"/>
    <n v="0"/>
    <x v="0"/>
    <n v="28.4"/>
    <n v="11.18"/>
    <s v="CARD"/>
    <x v="0"/>
    <s v="No Rain"/>
  </r>
  <r>
    <s v="S00294"/>
    <x v="4"/>
    <x v="290"/>
    <d v="2025-10-21T17:43:00"/>
    <n v="0.41666666666666669"/>
    <n v="13.19"/>
    <b v="0"/>
    <d v="2025-10-21T00:00:00"/>
    <x v="2"/>
    <s v="Tuesday"/>
    <n v="0"/>
    <s v="Evening"/>
    <n v="0.41666666666666669"/>
    <s v="City Centre"/>
    <n v="80"/>
    <x v="1"/>
    <n v="0"/>
    <n v="0"/>
    <x v="0"/>
    <n v="33.1"/>
    <n v="13.19"/>
    <s v="CASH"/>
    <x v="0"/>
    <s v="No Rain"/>
  </r>
  <r>
    <s v="S00295"/>
    <x v="3"/>
    <x v="291"/>
    <d v="2025-10-22T13:44:00"/>
    <n v="2.0333333333333332"/>
    <n v="34.49"/>
    <b v="0"/>
    <d v="2025-10-22T00:00:00"/>
    <x v="14"/>
    <s v="Wednesday"/>
    <n v="0"/>
    <s v="Morning"/>
    <n v="2.0333333333333332"/>
    <s v="Hospital Road"/>
    <n v="50"/>
    <x v="3"/>
    <n v="0"/>
    <n v="0"/>
    <x v="0"/>
    <n v="26.6"/>
    <n v="34.49"/>
    <s v="CARD"/>
    <x v="0"/>
    <s v="No Rain"/>
  </r>
  <r>
    <s v="S00296"/>
    <x v="3"/>
    <x v="292"/>
    <d v="2025-10-23T08:06:00"/>
    <n v="1.05"/>
    <n v="26.67"/>
    <b v="0"/>
    <d v="2025-10-23T00:00:00"/>
    <x v="1"/>
    <s v="Thursday"/>
    <n v="0"/>
    <s v="Morning"/>
    <n v="1.05"/>
    <s v="Hospital Road"/>
    <n v="50"/>
    <x v="3"/>
    <n v="0"/>
    <n v="0"/>
    <x v="0"/>
    <n v="22.7"/>
    <n v="26.67"/>
    <s v="UPI"/>
    <x v="0"/>
    <s v="No Rain"/>
  </r>
  <r>
    <s v="S00297"/>
    <x v="2"/>
    <x v="293"/>
    <d v="2025-10-24T22:19:00"/>
    <n v="1.1833333333333329"/>
    <n v="29.92"/>
    <b v="0"/>
    <d v="2025-10-24T00:00:00"/>
    <x v="13"/>
    <s v="Friday"/>
    <n v="0"/>
    <s v="Late Night"/>
    <n v="1.1833333333333329"/>
    <s v="Railway Station"/>
    <n v="100"/>
    <x v="2"/>
    <n v="0"/>
    <n v="0"/>
    <x v="0"/>
    <n v="35.799999999999997"/>
    <n v="29.92"/>
    <s v="UPI"/>
    <x v="0"/>
    <s v="No Rain"/>
  </r>
  <r>
    <s v="S00298"/>
    <x v="1"/>
    <x v="294"/>
    <d v="2025-10-25T19:58:00"/>
    <n v="0.6"/>
    <n v="14.68"/>
    <b v="0"/>
    <d v="2025-10-25T00:00:00"/>
    <x v="8"/>
    <s v="Saturday"/>
    <n v="1"/>
    <s v="Evening"/>
    <n v="0.6"/>
    <s v="Market Street"/>
    <n v="60"/>
    <x v="1"/>
    <n v="1"/>
    <n v="0"/>
    <x v="0"/>
    <n v="25.5"/>
    <n v="14.68"/>
    <s v="UPI"/>
    <x v="0"/>
    <s v="No Rain"/>
  </r>
  <r>
    <s v="S00299"/>
    <x v="0"/>
    <x v="295"/>
    <d v="2025-10-26T16:54:00"/>
    <n v="1.916666666666667"/>
    <n v="21.54"/>
    <b v="0"/>
    <d v="2025-10-26T00:00:00"/>
    <x v="7"/>
    <s v="Sunday"/>
    <n v="1"/>
    <s v="Afternoon"/>
    <n v="1.916666666666667"/>
    <s v="Park Avenue"/>
    <n v="70"/>
    <x v="0"/>
    <n v="1"/>
    <n v="1"/>
    <x v="1"/>
    <n v="27.4"/>
    <n v="21.54"/>
    <s v="UPI"/>
    <x v="1"/>
    <s v="Rain"/>
  </r>
  <r>
    <s v="S00300"/>
    <x v="4"/>
    <x v="296"/>
    <d v="2025-10-27T13:51:00"/>
    <n v="2.2333333333333329"/>
    <n v="38.67"/>
    <b v="0"/>
    <d v="2025-10-27T00:00:00"/>
    <x v="14"/>
    <s v="Monday"/>
    <n v="0"/>
    <s v="Morning"/>
    <n v="2.2333333333333329"/>
    <s v="City Centre"/>
    <n v="80"/>
    <x v="1"/>
    <n v="0"/>
    <n v="0"/>
    <x v="1"/>
    <n v="24.6"/>
    <n v="38.67"/>
    <s v="CARD"/>
    <x v="0"/>
    <s v="Rain"/>
  </r>
  <r>
    <s v="S00301"/>
    <x v="4"/>
    <x v="297"/>
    <d v="2025-10-28T18:34:00"/>
    <n v="2.2833333333333332"/>
    <n v="37.06"/>
    <b v="0"/>
    <d v="2025-10-28T00:00:00"/>
    <x v="11"/>
    <s v="Tuesday"/>
    <n v="0"/>
    <s v="Afternoon"/>
    <n v="2.2833333333333332"/>
    <s v="City Centre"/>
    <n v="80"/>
    <x v="1"/>
    <n v="0"/>
    <n v="0"/>
    <x v="0"/>
    <n v="22.9"/>
    <n v="37.06"/>
    <s v="CASH"/>
    <x v="0"/>
    <s v="No Rain"/>
  </r>
  <r>
    <s v="S00302"/>
    <x v="0"/>
    <x v="298"/>
    <d v="2025-10-30T01:36:00"/>
    <n v="5.1166666666666663"/>
    <n v="84.37"/>
    <b v="0"/>
    <d v="2025-10-29T00:00:00"/>
    <x v="3"/>
    <s v="Wednesday"/>
    <n v="0"/>
    <s v="Evening"/>
    <n v="5.1166666666666663"/>
    <s v="Park Avenue"/>
    <n v="70"/>
    <x v="0"/>
    <n v="0"/>
    <n v="0"/>
    <x v="0"/>
    <n v="30.1"/>
    <n v="84.37"/>
    <s v="UPI"/>
    <x v="0"/>
    <s v="No Rain"/>
  </r>
  <r>
    <s v="S00303"/>
    <x v="3"/>
    <x v="299"/>
    <d v="2025-10-30T09:56:00"/>
    <n v="1.05"/>
    <n v="24.18"/>
    <b v="0"/>
    <d v="2025-10-30T00:00:00"/>
    <x v="10"/>
    <s v="Thursday"/>
    <n v="0"/>
    <s v="Morning"/>
    <n v="1.05"/>
    <s v="Hospital Road"/>
    <n v="50"/>
    <x v="3"/>
    <n v="0"/>
    <n v="0"/>
    <x v="0"/>
    <n v="28.2"/>
    <n v="24.18"/>
    <s v="CASH"/>
    <x v="0"/>
    <s v="No Rain"/>
  </r>
  <r>
    <s v="S00304"/>
    <x v="4"/>
    <x v="300"/>
    <d v="2025-10-31T20:46:00"/>
    <n v="0.33333333333333331"/>
    <n v="12.75"/>
    <b v="0"/>
    <d v="2025-10-31T00:00:00"/>
    <x v="3"/>
    <s v="Friday"/>
    <n v="0"/>
    <s v="Evening"/>
    <n v="0.33333333333333331"/>
    <s v="City Centre"/>
    <n v="80"/>
    <x v="1"/>
    <n v="0"/>
    <n v="0"/>
    <x v="0"/>
    <n v="31.5"/>
    <n v="12.75"/>
    <s v="CASH"/>
    <x v="0"/>
    <s v="No Rain"/>
  </r>
  <r>
    <s v="S00305"/>
    <x v="2"/>
    <x v="301"/>
    <d v="2025-11-01T16:39:00"/>
    <n v="0.81666666666666665"/>
    <n v="15.85"/>
    <b v="0"/>
    <d v="2025-11-01T00:00:00"/>
    <x v="15"/>
    <s v="Saturday"/>
    <n v="1"/>
    <s v="Afternoon"/>
    <n v="0.81666666666666665"/>
    <s v="Railway Station"/>
    <n v="100"/>
    <x v="2"/>
    <n v="1"/>
    <n v="0"/>
    <x v="0"/>
    <n v="31.2"/>
    <n v="15.85"/>
    <s v="UPI"/>
    <x v="0"/>
    <s v="No Rain"/>
  </r>
  <r>
    <s v="S00306"/>
    <x v="0"/>
    <x v="302"/>
    <d v="2025-11-02T15:54:00"/>
    <n v="4.6500000000000004"/>
    <n v="73.48"/>
    <b v="0"/>
    <d v="2025-11-02T00:00:00"/>
    <x v="14"/>
    <s v="Sunday"/>
    <n v="1"/>
    <s v="Morning"/>
    <n v="4.6500000000000004"/>
    <s v="Park Avenue"/>
    <n v="70"/>
    <x v="0"/>
    <n v="1"/>
    <n v="0"/>
    <x v="0"/>
    <n v="26.5"/>
    <n v="73.48"/>
    <s v="CASH"/>
    <x v="0"/>
    <s v="No Rain"/>
  </r>
  <r>
    <s v="S00307"/>
    <x v="2"/>
    <x v="303"/>
    <d v="2025-11-03T15:26:00"/>
    <n v="0.91666666666666663"/>
    <n v="14.5"/>
    <b v="0"/>
    <d v="2025-11-03T00:00:00"/>
    <x v="7"/>
    <s v="Monday"/>
    <n v="0"/>
    <s v="Afternoon"/>
    <n v="0.91666666666666663"/>
    <s v="Railway Station"/>
    <n v="100"/>
    <x v="2"/>
    <n v="0"/>
    <n v="0"/>
    <x v="1"/>
    <n v="33.5"/>
    <n v="14.5"/>
    <s v="UPI"/>
    <x v="0"/>
    <s v="Rain"/>
  </r>
  <r>
    <s v="S00308"/>
    <x v="2"/>
    <x v="304"/>
    <d v="2025-11-04T09:00:00"/>
    <n v="0.95"/>
    <n v="12.21"/>
    <b v="0"/>
    <d v="2025-11-04T00:00:00"/>
    <x v="10"/>
    <s v="Tuesday"/>
    <n v="0"/>
    <s v="Morning"/>
    <n v="0.95"/>
    <s v="Railway Station"/>
    <n v="100"/>
    <x v="2"/>
    <n v="0"/>
    <n v="0"/>
    <x v="0"/>
    <n v="38.5"/>
    <n v="12.21"/>
    <s v="UPI"/>
    <x v="0"/>
    <s v="No Rain"/>
  </r>
  <r>
    <s v="S00309"/>
    <x v="3"/>
    <x v="305"/>
    <d v="2025-11-05T11:38:00"/>
    <n v="0.81666666666666665"/>
    <n v="10.15"/>
    <b v="0"/>
    <d v="2025-11-05T00:00:00"/>
    <x v="5"/>
    <s v="Wednesday"/>
    <n v="0"/>
    <s v="Morning"/>
    <n v="0.81666666666666665"/>
    <s v="Hospital Road"/>
    <n v="50"/>
    <x v="3"/>
    <n v="0"/>
    <n v="0"/>
    <x v="0"/>
    <n v="30.7"/>
    <n v="10.15"/>
    <s v="UPI"/>
    <x v="0"/>
    <s v="No Rain"/>
  </r>
  <r>
    <s v="S00310"/>
    <x v="4"/>
    <x v="306"/>
    <d v="2025-11-06T21:28:00"/>
    <n v="0.35"/>
    <n v="10"/>
    <b v="0"/>
    <d v="2025-11-06T00:00:00"/>
    <x v="13"/>
    <s v="Thursday"/>
    <n v="0"/>
    <s v="Late Night"/>
    <n v="0.35"/>
    <s v="City Centre"/>
    <n v="80"/>
    <x v="1"/>
    <n v="0"/>
    <n v="0"/>
    <x v="0"/>
    <n v="25.4"/>
    <n v="10"/>
    <s v="CARD"/>
    <x v="0"/>
    <s v="No Rain"/>
  </r>
  <r>
    <s v="S00311"/>
    <x v="1"/>
    <x v="307"/>
    <d v="2025-11-07T11:08:00"/>
    <n v="2"/>
    <n v="37.32"/>
    <b v="0"/>
    <d v="2025-11-07T00:00:00"/>
    <x v="16"/>
    <s v="Friday"/>
    <n v="0"/>
    <s v="Morning"/>
    <n v="2"/>
    <s v="Market Street"/>
    <n v="60"/>
    <x v="1"/>
    <n v="0"/>
    <n v="0"/>
    <x v="0"/>
    <n v="31.3"/>
    <n v="37.32"/>
    <s v="UPI"/>
    <x v="0"/>
    <s v="No Rain"/>
  </r>
  <r>
    <s v="S00312"/>
    <x v="0"/>
    <x v="308"/>
    <d v="2025-11-08T12:16:00"/>
    <n v="0.53333333333333333"/>
    <n v="11.4"/>
    <b v="0"/>
    <d v="2025-11-08T00:00:00"/>
    <x v="14"/>
    <s v="Saturday"/>
    <n v="1"/>
    <s v="Morning"/>
    <n v="0.53333333333333333"/>
    <s v="Park Avenue"/>
    <n v="70"/>
    <x v="0"/>
    <n v="1"/>
    <n v="0"/>
    <x v="1"/>
    <n v="29.4"/>
    <n v="11.4"/>
    <s v="CASH"/>
    <x v="0"/>
    <s v="Rain"/>
  </r>
  <r>
    <s v="S00313"/>
    <x v="1"/>
    <x v="309"/>
    <d v="2025-11-09T16:29:00"/>
    <n v="2.1833333333333331"/>
    <n v="49.93"/>
    <b v="0"/>
    <d v="2025-11-09T00:00:00"/>
    <x v="7"/>
    <s v="Sunday"/>
    <n v="1"/>
    <s v="Afternoon"/>
    <n v="2.1833333333333331"/>
    <s v="Market Street"/>
    <n v="60"/>
    <x v="1"/>
    <n v="1"/>
    <n v="0"/>
    <x v="0"/>
    <n v="27.4"/>
    <n v="49.93"/>
    <s v="UPI"/>
    <x v="0"/>
    <s v="No Rain"/>
  </r>
  <r>
    <s v="S00314"/>
    <x v="3"/>
    <x v="310"/>
    <d v="2025-11-10T09:54:00"/>
    <n v="3.5666666666666669"/>
    <n v="46.2"/>
    <b v="0"/>
    <d v="2025-11-10T00:00:00"/>
    <x v="6"/>
    <s v="Monday"/>
    <n v="0"/>
    <s v="Morning"/>
    <n v="3.5666666666666669"/>
    <s v="Hospital Road"/>
    <n v="50"/>
    <x v="3"/>
    <n v="0"/>
    <n v="0"/>
    <x v="0"/>
    <n v="25.6"/>
    <n v="46.2"/>
    <s v="CARD"/>
    <x v="0"/>
    <s v="No Rain"/>
  </r>
  <r>
    <s v="S00315"/>
    <x v="0"/>
    <x v="311"/>
    <d v="2025-11-11T10:10:00"/>
    <n v="0.25"/>
    <n v="14.01"/>
    <b v="0"/>
    <d v="2025-11-11T00:00:00"/>
    <x v="16"/>
    <s v="Tuesday"/>
    <n v="0"/>
    <s v="Morning"/>
    <n v="0.25"/>
    <s v="Park Avenue"/>
    <n v="70"/>
    <x v="0"/>
    <n v="0"/>
    <n v="0"/>
    <x v="0"/>
    <n v="24.8"/>
    <n v="14.01"/>
    <s v="UPI"/>
    <x v="0"/>
    <s v="No Rain"/>
  </r>
  <r>
    <s v="S00316"/>
    <x v="1"/>
    <x v="312"/>
    <d v="2025-11-12T17:04:00"/>
    <n v="2.8166666666666669"/>
    <n v="46.18"/>
    <b v="0"/>
    <d v="2025-11-12T00:00:00"/>
    <x v="7"/>
    <s v="Wednesday"/>
    <n v="0"/>
    <s v="Afternoon"/>
    <n v="2.8166666666666669"/>
    <s v="Market Street"/>
    <n v="60"/>
    <x v="1"/>
    <n v="0"/>
    <n v="0"/>
    <x v="0"/>
    <n v="33.5"/>
    <n v="46.18"/>
    <s v="CARD"/>
    <x v="0"/>
    <s v="No Rain"/>
  </r>
  <r>
    <s v="S00317"/>
    <x v="4"/>
    <x v="313"/>
    <d v="2025-11-13T11:21:00"/>
    <n v="3.7833333333333332"/>
    <n v="54.19"/>
    <b v="0"/>
    <d v="2025-11-13T00:00:00"/>
    <x v="1"/>
    <s v="Thursday"/>
    <n v="0"/>
    <s v="Morning"/>
    <n v="3.7833333333333332"/>
    <s v="City Centre"/>
    <n v="80"/>
    <x v="1"/>
    <n v="0"/>
    <n v="0"/>
    <x v="1"/>
    <n v="29.9"/>
    <n v="54.19"/>
    <s v="UPI"/>
    <x v="0"/>
    <s v="Rain"/>
  </r>
  <r>
    <s v="S00318"/>
    <x v="4"/>
    <x v="314"/>
    <d v="2025-11-14T19:06:00"/>
    <n v="0.6"/>
    <n v="10"/>
    <b v="0"/>
    <d v="2025-11-14T00:00:00"/>
    <x v="12"/>
    <s v="Friday"/>
    <n v="0"/>
    <s v="Evening"/>
    <n v="0.6"/>
    <s v="City Centre"/>
    <n v="80"/>
    <x v="1"/>
    <n v="0"/>
    <n v="0"/>
    <x v="0"/>
    <n v="31.8"/>
    <n v="10"/>
    <s v="UPI"/>
    <x v="0"/>
    <s v="No Rain"/>
  </r>
  <r>
    <s v="S00319"/>
    <x v="4"/>
    <x v="315"/>
    <d v="2025-11-15T09:34:00"/>
    <n v="3.3166666666666669"/>
    <n v="52.22"/>
    <b v="0"/>
    <d v="2025-11-15T00:00:00"/>
    <x v="6"/>
    <s v="Saturday"/>
    <n v="1"/>
    <s v="Morning"/>
    <n v="3.3166666666666669"/>
    <s v="City Centre"/>
    <n v="80"/>
    <x v="1"/>
    <n v="1"/>
    <n v="0"/>
    <x v="0"/>
    <n v="26.7"/>
    <n v="52.22"/>
    <s v="UPI"/>
    <x v="0"/>
    <s v="No Rain"/>
  </r>
  <r>
    <s v="S00320"/>
    <x v="0"/>
    <x v="316"/>
    <d v="2025-11-16T09:45:00"/>
    <n v="3.4"/>
    <n v="52.89"/>
    <b v="0"/>
    <d v="2025-11-16T00:00:00"/>
    <x v="6"/>
    <s v="Sunday"/>
    <n v="1"/>
    <s v="Morning"/>
    <n v="3.4"/>
    <s v="Park Avenue"/>
    <n v="70"/>
    <x v="0"/>
    <n v="1"/>
    <n v="0"/>
    <x v="0"/>
    <n v="34.5"/>
    <n v="52.89"/>
    <s v="CASH"/>
    <x v="0"/>
    <s v="No Rain"/>
  </r>
  <r>
    <s v="S00321"/>
    <x v="0"/>
    <x v="317"/>
    <d v="2025-11-17T12:49:00"/>
    <n v="4"/>
    <n v="67.849999999999994"/>
    <b v="0"/>
    <d v="2025-11-17T00:00:00"/>
    <x v="10"/>
    <s v="Monday"/>
    <n v="0"/>
    <s v="Morning"/>
    <n v="4"/>
    <s v="Park Avenue"/>
    <n v="70"/>
    <x v="0"/>
    <n v="0"/>
    <n v="0"/>
    <x v="1"/>
    <n v="29"/>
    <n v="67.849999999999994"/>
    <s v="UPI"/>
    <x v="0"/>
    <s v="Rain"/>
  </r>
  <r>
    <s v="S00322"/>
    <x v="3"/>
    <x v="318"/>
    <d v="2025-11-18T15:11:00"/>
    <n v="2.1833333333333331"/>
    <n v="35.51"/>
    <b v="0"/>
    <d v="2025-11-18T00:00:00"/>
    <x v="0"/>
    <s v="Tuesday"/>
    <n v="0"/>
    <s v="Afternoon"/>
    <n v="2.1833333333333331"/>
    <s v="Hospital Road"/>
    <n v="50"/>
    <x v="3"/>
    <n v="0"/>
    <n v="0"/>
    <x v="0"/>
    <n v="27"/>
    <n v="35.51"/>
    <s v="CASH"/>
    <x v="0"/>
    <s v="No Rain"/>
  </r>
  <r>
    <s v="S00323"/>
    <x v="2"/>
    <x v="319"/>
    <d v="2025-11-19T21:01:00"/>
    <n v="6.916666666666667"/>
    <n v="96.54"/>
    <b v="0"/>
    <d v="2025-11-19T00:00:00"/>
    <x v="7"/>
    <s v="Wednesday"/>
    <n v="0"/>
    <s v="Afternoon"/>
    <n v="6.916666666666667"/>
    <s v="Railway Station"/>
    <n v="100"/>
    <x v="2"/>
    <n v="0"/>
    <n v="0"/>
    <x v="0"/>
    <n v="27.6"/>
    <n v="96.54"/>
    <s v="UPI"/>
    <x v="0"/>
    <s v="No Rain"/>
  </r>
  <r>
    <s v="S00324"/>
    <x v="3"/>
    <x v="320"/>
    <d v="2025-11-20T17:38:00"/>
    <n v="0.33333333333333331"/>
    <n v="10"/>
    <b v="0"/>
    <d v="2025-11-20T00:00:00"/>
    <x v="2"/>
    <s v="Thursday"/>
    <n v="0"/>
    <s v="Evening"/>
    <n v="0.33333333333333331"/>
    <s v="Hospital Road"/>
    <n v="50"/>
    <x v="3"/>
    <n v="0"/>
    <n v="0"/>
    <x v="1"/>
    <n v="29.3"/>
    <n v="10"/>
    <s v="CASH"/>
    <x v="0"/>
    <s v="Rain"/>
  </r>
  <r>
    <s v="S00325"/>
    <x v="4"/>
    <x v="321"/>
    <d v="2025-11-21T09:15:00"/>
    <n v="2.3166666666666669"/>
    <n v="40.729999999999997"/>
    <b v="0"/>
    <d v="2025-11-21T00:00:00"/>
    <x v="6"/>
    <s v="Friday"/>
    <n v="0"/>
    <s v="Morning"/>
    <n v="2.3166666666666669"/>
    <s v="City Centre"/>
    <n v="80"/>
    <x v="1"/>
    <n v="0"/>
    <n v="0"/>
    <x v="1"/>
    <n v="28.3"/>
    <n v="40.729999999999997"/>
    <s v="CASH"/>
    <x v="0"/>
    <s v="Rain"/>
  </r>
  <r>
    <s v="S00326"/>
    <x v="2"/>
    <x v="322"/>
    <d v="2025-11-22T17:45:00"/>
    <n v="0.71666666666666667"/>
    <n v="12.91"/>
    <b v="0"/>
    <d v="2025-11-22T00:00:00"/>
    <x v="2"/>
    <s v="Saturday"/>
    <n v="1"/>
    <s v="Evening"/>
    <n v="0.71666666666666667"/>
    <s v="Railway Station"/>
    <n v="100"/>
    <x v="2"/>
    <n v="1"/>
    <n v="0"/>
    <x v="0"/>
    <n v="26.7"/>
    <n v="12.91"/>
    <s v="CARD"/>
    <x v="0"/>
    <s v="No Rain"/>
  </r>
  <r>
    <s v="S00327"/>
    <x v="1"/>
    <x v="323"/>
    <d v="2025-11-23T15:13:00"/>
    <n v="0.28333333333333333"/>
    <n v="10"/>
    <b v="0"/>
    <d v="2025-11-23T00:00:00"/>
    <x v="7"/>
    <s v="Sunday"/>
    <n v="1"/>
    <s v="Afternoon"/>
    <n v="0.28333333333333333"/>
    <s v="Market Street"/>
    <n v="60"/>
    <x v="1"/>
    <n v="1"/>
    <n v="0"/>
    <x v="0"/>
    <n v="30.4"/>
    <n v="10"/>
    <s v="CASH"/>
    <x v="0"/>
    <s v="No Rain"/>
  </r>
  <r>
    <s v="S00328"/>
    <x v="1"/>
    <x v="324"/>
    <d v="2025-11-24T20:51:00"/>
    <n v="1.7666666666666671"/>
    <n v="24.86"/>
    <b v="0"/>
    <d v="2025-11-24T00:00:00"/>
    <x v="8"/>
    <s v="Monday"/>
    <n v="0"/>
    <s v="Evening"/>
    <n v="1.7666666666666671"/>
    <s v="Market Street"/>
    <n v="60"/>
    <x v="1"/>
    <n v="0"/>
    <n v="0"/>
    <x v="1"/>
    <n v="28.2"/>
    <n v="24.86"/>
    <s v="UPI"/>
    <x v="0"/>
    <s v="Rain"/>
  </r>
  <r>
    <s v="S00329"/>
    <x v="4"/>
    <x v="325"/>
    <d v="2025-11-25T14:26:00"/>
    <n v="2.25"/>
    <n v="36.409999999999997"/>
    <b v="0"/>
    <d v="2025-11-25T00:00:00"/>
    <x v="4"/>
    <s v="Tuesday"/>
    <n v="0"/>
    <s v="Afternoon"/>
    <n v="2.25"/>
    <s v="City Centre"/>
    <n v="80"/>
    <x v="1"/>
    <n v="0"/>
    <n v="0"/>
    <x v="0"/>
    <n v="35.200000000000003"/>
    <n v="36.409999999999997"/>
    <s v="CARD"/>
    <x v="0"/>
    <s v="No Rain"/>
  </r>
  <r>
    <s v="S00330"/>
    <x v="4"/>
    <x v="326"/>
    <d v="2025-11-26T12:53:00"/>
    <n v="1.416666666666667"/>
    <n v="30.38"/>
    <b v="0"/>
    <d v="2025-11-26T00:00:00"/>
    <x v="14"/>
    <s v="Wednesday"/>
    <n v="0"/>
    <s v="Morning"/>
    <n v="1.416666666666667"/>
    <s v="City Centre"/>
    <n v="80"/>
    <x v="1"/>
    <n v="0"/>
    <n v="0"/>
    <x v="0"/>
    <n v="36.1"/>
    <n v="30.38"/>
    <s v="UPI"/>
    <x v="0"/>
    <s v="No Rain"/>
  </r>
  <r>
    <s v="S00331"/>
    <x v="4"/>
    <x v="327"/>
    <d v="2025-11-27T17:35:00"/>
    <n v="2.6166666666666671"/>
    <n v="38.26"/>
    <b v="0"/>
    <d v="2025-11-27T00:00:00"/>
    <x v="7"/>
    <s v="Thursday"/>
    <n v="0"/>
    <s v="Afternoon"/>
    <n v="2.6166666666666671"/>
    <s v="City Centre"/>
    <n v="80"/>
    <x v="1"/>
    <n v="0"/>
    <n v="0"/>
    <x v="0"/>
    <n v="36.1"/>
    <n v="38.26"/>
    <s v="CASH"/>
    <x v="0"/>
    <s v="No Rain"/>
  </r>
  <r>
    <s v="S00332"/>
    <x v="0"/>
    <x v="328"/>
    <d v="2025-11-28T17:08:00"/>
    <n v="2.1166666666666671"/>
    <n v="44.46"/>
    <b v="0"/>
    <d v="2025-11-28T00:00:00"/>
    <x v="15"/>
    <s v="Friday"/>
    <n v="0"/>
    <s v="Afternoon"/>
    <n v="2.1166666666666671"/>
    <s v="Park Avenue"/>
    <n v="70"/>
    <x v="0"/>
    <n v="0"/>
    <n v="0"/>
    <x v="0"/>
    <n v="34.200000000000003"/>
    <n v="44.46"/>
    <s v="UPI"/>
    <x v="0"/>
    <s v="No Rain"/>
  </r>
  <r>
    <s v="S00333"/>
    <x v="1"/>
    <x v="329"/>
    <d v="2025-11-29T14:50:00"/>
    <n v="0.75"/>
    <n v="13.83"/>
    <b v="0"/>
    <d v="2025-11-29T00:00:00"/>
    <x v="7"/>
    <s v="Saturday"/>
    <n v="1"/>
    <s v="Afternoon"/>
    <n v="0.75"/>
    <s v="Market Street"/>
    <n v="60"/>
    <x v="1"/>
    <n v="1"/>
    <n v="0"/>
    <x v="0"/>
    <n v="28.5"/>
    <n v="13.83"/>
    <s v="CARD"/>
    <x v="0"/>
    <s v="No Rain"/>
  </r>
  <r>
    <s v="S00334"/>
    <x v="4"/>
    <x v="330"/>
    <d v="2025-11-30T15:26:00"/>
    <n v="0.81666666666666665"/>
    <n v="12.83"/>
    <b v="0"/>
    <d v="2025-11-30T00:00:00"/>
    <x v="7"/>
    <s v="Sunday"/>
    <n v="1"/>
    <s v="Afternoon"/>
    <n v="0.81666666666666665"/>
    <s v="City Centre"/>
    <n v="80"/>
    <x v="1"/>
    <n v="1"/>
    <n v="0"/>
    <x v="0"/>
    <n v="25.1"/>
    <n v="12.83"/>
    <s v="UPI"/>
    <x v="0"/>
    <s v="No Rain"/>
  </r>
  <r>
    <s v="S00335"/>
    <x v="1"/>
    <x v="331"/>
    <d v="2025-12-01T10:28:00"/>
    <n v="2.6333333333333329"/>
    <n v="38.770000000000003"/>
    <b v="0"/>
    <d v="2025-12-01T00:00:00"/>
    <x v="1"/>
    <s v="Monday"/>
    <n v="0"/>
    <s v="Morning"/>
    <n v="2.6333333333333329"/>
    <s v="Market Street"/>
    <n v="60"/>
    <x v="1"/>
    <n v="0"/>
    <n v="0"/>
    <x v="0"/>
    <n v="27.3"/>
    <n v="38.770000000000003"/>
    <s v="UPI"/>
    <x v="0"/>
    <s v="No Rain"/>
  </r>
  <r>
    <s v="S00336"/>
    <x v="4"/>
    <x v="332"/>
    <m/>
    <m/>
    <n v="44.15"/>
    <b v="1"/>
    <d v="2025-12-02T00:00:00"/>
    <x v="14"/>
    <s v="Tuesday"/>
    <n v="0"/>
    <s v="Morning"/>
    <m/>
    <s v="City Centre"/>
    <n v="80"/>
    <x v="1"/>
    <n v="0"/>
    <n v="0"/>
    <x v="1"/>
    <n v="29.2"/>
    <n v="44.15"/>
    <s v="UPI"/>
    <x v="0"/>
    <s v="Rain"/>
  </r>
  <r>
    <s v="S00337"/>
    <x v="4"/>
    <x v="333"/>
    <d v="2025-12-04T00:15:00"/>
    <n v="1.9"/>
    <n v="24.97"/>
    <b v="0"/>
    <d v="2025-12-03T00:00:00"/>
    <x v="9"/>
    <s v="Wednesday"/>
    <n v="0"/>
    <s v="Late Night"/>
    <n v="1.9"/>
    <s v="City Centre"/>
    <n v="80"/>
    <x v="1"/>
    <n v="0"/>
    <n v="0"/>
    <x v="0"/>
    <n v="29.2"/>
    <n v="24.97"/>
    <s v="CASH"/>
    <x v="0"/>
    <s v="No Rain"/>
  </r>
  <r>
    <s v="S00338"/>
    <x v="4"/>
    <x v="334"/>
    <d v="2025-12-04T14:14:00"/>
    <n v="2.9833333333333329"/>
    <n v="39.909999999999997"/>
    <b v="0"/>
    <d v="2025-12-04T00:00:00"/>
    <x v="14"/>
    <s v="Thursday"/>
    <n v="0"/>
    <s v="Morning"/>
    <n v="2.9833333333333329"/>
    <s v="City Centre"/>
    <n v="80"/>
    <x v="1"/>
    <n v="0"/>
    <n v="0"/>
    <x v="0"/>
    <n v="27.7"/>
    <n v="39.909999999999997"/>
    <s v="CASH"/>
    <x v="0"/>
    <s v="No Rain"/>
  </r>
  <r>
    <s v="S00339"/>
    <x v="3"/>
    <x v="335"/>
    <d v="2025-12-05T10:38:00"/>
    <n v="1.4"/>
    <n v="32.369999999999997"/>
    <b v="0"/>
    <d v="2025-12-05T00:00:00"/>
    <x v="16"/>
    <s v="Friday"/>
    <n v="0"/>
    <s v="Morning"/>
    <n v="1.4"/>
    <s v="Hospital Road"/>
    <n v="50"/>
    <x v="3"/>
    <n v="0"/>
    <n v="1"/>
    <x v="0"/>
    <n v="33.1"/>
    <n v="32.369999999999997"/>
    <s v="UPI"/>
    <x v="1"/>
    <s v="No Rain"/>
  </r>
  <r>
    <s v="S00340"/>
    <x v="2"/>
    <x v="336"/>
    <d v="2025-12-06T22:23:00"/>
    <n v="1.666666666666667"/>
    <n v="19.440000000000001"/>
    <b v="0"/>
    <d v="2025-12-06T00:00:00"/>
    <x v="3"/>
    <s v="Saturday"/>
    <n v="1"/>
    <s v="Evening"/>
    <n v="1.666666666666667"/>
    <s v="Railway Station"/>
    <n v="100"/>
    <x v="2"/>
    <n v="1"/>
    <n v="0"/>
    <x v="1"/>
    <n v="32.1"/>
    <n v="19.440000000000001"/>
    <s v="CARD"/>
    <x v="0"/>
    <s v="Rain"/>
  </r>
  <r>
    <s v="S00341"/>
    <x v="2"/>
    <x v="337"/>
    <d v="2025-12-07T20:49:00"/>
    <n v="0.71666666666666667"/>
    <n v="12"/>
    <b v="0"/>
    <d v="2025-12-07T00:00:00"/>
    <x v="3"/>
    <s v="Sunday"/>
    <n v="1"/>
    <s v="Evening"/>
    <n v="0.71666666666666667"/>
    <s v="Railway Station"/>
    <n v="100"/>
    <x v="2"/>
    <n v="1"/>
    <n v="0"/>
    <x v="1"/>
    <n v="32.6"/>
    <n v="12"/>
    <s v="UPI"/>
    <x v="0"/>
    <s v="Rain"/>
  </r>
  <r>
    <s v="S00342"/>
    <x v="2"/>
    <x v="338"/>
    <d v="2025-12-09T01:46:00"/>
    <n v="4.1166666666666663"/>
    <n v="68.73"/>
    <b v="0"/>
    <d v="2025-12-08T00:00:00"/>
    <x v="13"/>
    <s v="Monday"/>
    <n v="0"/>
    <s v="Late Night"/>
    <n v="4.1166666666666663"/>
    <s v="Railway Station"/>
    <n v="100"/>
    <x v="2"/>
    <n v="0"/>
    <n v="0"/>
    <x v="0"/>
    <n v="35.4"/>
    <n v="68.73"/>
    <s v="UPI"/>
    <x v="0"/>
    <s v="No Rain"/>
  </r>
  <r>
    <s v="S00343"/>
    <x v="4"/>
    <x v="339"/>
    <d v="2025-12-09T19:39:00"/>
    <n v="2.3833333333333329"/>
    <n v="38.69"/>
    <b v="0"/>
    <d v="2025-12-09T00:00:00"/>
    <x v="2"/>
    <s v="Tuesday"/>
    <n v="0"/>
    <s v="Evening"/>
    <n v="2.3833333333333329"/>
    <s v="City Centre"/>
    <n v="80"/>
    <x v="1"/>
    <n v="0"/>
    <n v="0"/>
    <x v="0"/>
    <n v="31.1"/>
    <n v="38.69"/>
    <s v="CASH"/>
    <x v="0"/>
    <s v="No Rain"/>
  </r>
  <r>
    <s v="S00344"/>
    <x v="1"/>
    <x v="340"/>
    <d v="2025-12-10T22:23:00"/>
    <n v="1.6166666666666669"/>
    <n v="23.87"/>
    <b v="0"/>
    <d v="2025-12-10T00:00:00"/>
    <x v="3"/>
    <s v="Wednesday"/>
    <n v="0"/>
    <s v="Evening"/>
    <n v="1.6166666666666669"/>
    <s v="Market Street"/>
    <n v="60"/>
    <x v="1"/>
    <n v="0"/>
    <n v="0"/>
    <x v="0"/>
    <n v="30.1"/>
    <n v="23.87"/>
    <s v="UPI"/>
    <x v="0"/>
    <s v="No Rain"/>
  </r>
  <r>
    <s v="S00345"/>
    <x v="2"/>
    <x v="341"/>
    <d v="2025-12-11T13:28:00"/>
    <n v="2.8666666666666671"/>
    <n v="48.83"/>
    <b v="0"/>
    <d v="2025-12-11T00:00:00"/>
    <x v="5"/>
    <s v="Thursday"/>
    <n v="0"/>
    <s v="Morning"/>
    <n v="2.8666666666666671"/>
    <s v="Railway Station"/>
    <n v="100"/>
    <x v="2"/>
    <n v="0"/>
    <n v="0"/>
    <x v="0"/>
    <n v="34.299999999999997"/>
    <n v="48.83"/>
    <s v="UPI"/>
    <x v="0"/>
    <s v="No Rain"/>
  </r>
  <r>
    <s v="S00346"/>
    <x v="4"/>
    <x v="342"/>
    <d v="2025-12-12T20:34:00"/>
    <n v="5.2833333333333332"/>
    <n v="74.37"/>
    <b v="0"/>
    <d v="2025-12-12T00:00:00"/>
    <x v="15"/>
    <s v="Friday"/>
    <n v="0"/>
    <s v="Afternoon"/>
    <n v="5.2833333333333332"/>
    <s v="City Centre"/>
    <n v="80"/>
    <x v="1"/>
    <n v="0"/>
    <n v="1"/>
    <x v="0"/>
    <n v="32.799999999999997"/>
    <n v="74.37"/>
    <s v="UPI"/>
    <x v="1"/>
    <s v="No Rain"/>
  </r>
  <r>
    <s v="S00347"/>
    <x v="0"/>
    <x v="343"/>
    <d v="2025-12-13T12:18:00"/>
    <n v="0.25"/>
    <n v="10"/>
    <b v="0"/>
    <d v="2025-12-13T00:00:00"/>
    <x v="4"/>
    <s v="Saturday"/>
    <n v="1"/>
    <s v="Afternoon"/>
    <n v="0.25"/>
    <s v="Park Avenue"/>
    <n v="70"/>
    <x v="0"/>
    <n v="1"/>
    <n v="0"/>
    <x v="0"/>
    <n v="30.3"/>
    <n v="10"/>
    <s v="UPI"/>
    <x v="0"/>
    <s v="No Rain"/>
  </r>
  <r>
    <s v="S00348"/>
    <x v="0"/>
    <x v="344"/>
    <d v="2025-12-14T21:58:00"/>
    <n v="0.81666666666666665"/>
    <n v="10"/>
    <b v="0"/>
    <d v="2025-12-14T00:00:00"/>
    <x v="13"/>
    <s v="Sunday"/>
    <n v="1"/>
    <s v="Late Night"/>
    <n v="0.81666666666666665"/>
    <s v="Park Avenue"/>
    <n v="70"/>
    <x v="0"/>
    <n v="1"/>
    <n v="0"/>
    <x v="0"/>
    <n v="26.5"/>
    <n v="10"/>
    <s v="UPI"/>
    <x v="0"/>
    <s v="No Rain"/>
  </r>
  <r>
    <s v="S00349"/>
    <x v="0"/>
    <x v="345"/>
    <d v="2025-12-15T16:21:00"/>
    <n v="0.25"/>
    <n v="10"/>
    <b v="0"/>
    <d v="2025-12-15T00:00:00"/>
    <x v="11"/>
    <s v="Monday"/>
    <n v="0"/>
    <s v="Afternoon"/>
    <n v="0.25"/>
    <s v="Park Avenue"/>
    <n v="70"/>
    <x v="0"/>
    <n v="0"/>
    <n v="0"/>
    <x v="0"/>
    <n v="34.5"/>
    <n v="10"/>
    <s v="CASH"/>
    <x v="0"/>
    <s v="No Rain"/>
  </r>
  <r>
    <s v="S00350"/>
    <x v="3"/>
    <x v="346"/>
    <d v="2025-12-17T00:17:00"/>
    <n v="1.7333333333333329"/>
    <n v="25.2"/>
    <b v="0"/>
    <d v="2025-12-16T00:00:00"/>
    <x v="9"/>
    <s v="Tuesday"/>
    <n v="0"/>
    <s v="Late Night"/>
    <n v="1.7333333333333329"/>
    <s v="Hospital Road"/>
    <n v="50"/>
    <x v="3"/>
    <n v="0"/>
    <n v="0"/>
    <x v="0"/>
    <n v="34.6"/>
    <n v="25.2"/>
    <s v="UPI"/>
    <x v="0"/>
    <s v="No Rain"/>
  </r>
  <r>
    <s v="S00351"/>
    <x v="4"/>
    <x v="347"/>
    <d v="2025-12-17T20:19:00"/>
    <n v="1.3"/>
    <n v="30.8"/>
    <b v="0"/>
    <d v="2025-12-17T00:00:00"/>
    <x v="8"/>
    <s v="Wednesday"/>
    <n v="0"/>
    <s v="Evening"/>
    <n v="1.3"/>
    <s v="City Centre"/>
    <n v="80"/>
    <x v="1"/>
    <n v="0"/>
    <n v="0"/>
    <x v="1"/>
    <n v="30.5"/>
    <n v="30.8"/>
    <s v="UPI"/>
    <x v="0"/>
    <s v="Rain"/>
  </r>
  <r>
    <s v="S00352"/>
    <x v="4"/>
    <x v="348"/>
    <d v="2025-12-18T17:19:00"/>
    <n v="2.8"/>
    <n v="46.2"/>
    <b v="0"/>
    <d v="2025-12-18T00:00:00"/>
    <x v="7"/>
    <s v="Thursday"/>
    <n v="0"/>
    <s v="Afternoon"/>
    <n v="2.8"/>
    <s v="City Centre"/>
    <n v="80"/>
    <x v="1"/>
    <n v="0"/>
    <n v="0"/>
    <x v="0"/>
    <n v="30.5"/>
    <n v="46.2"/>
    <s v="CARD"/>
    <x v="0"/>
    <s v="No Rain"/>
  </r>
  <r>
    <s v="S00353"/>
    <x v="3"/>
    <x v="349"/>
    <d v="2025-12-19T12:50:00"/>
    <n v="4.2166666666666668"/>
    <n v="62.43"/>
    <b v="0"/>
    <d v="2025-12-19T00:00:00"/>
    <x v="10"/>
    <s v="Friday"/>
    <n v="0"/>
    <s v="Morning"/>
    <n v="4.2166666666666668"/>
    <s v="Hospital Road"/>
    <n v="50"/>
    <x v="3"/>
    <n v="0"/>
    <n v="1"/>
    <x v="1"/>
    <n v="28.8"/>
    <n v="62.43"/>
    <s v="CASH"/>
    <x v="1"/>
    <s v="Rain"/>
  </r>
  <r>
    <s v="S00354"/>
    <x v="3"/>
    <x v="350"/>
    <d v="2025-12-20T18:48:00"/>
    <n v="0.31666666666666671"/>
    <n v="10"/>
    <b v="0"/>
    <d v="2025-12-20T00:00:00"/>
    <x v="12"/>
    <s v="Saturday"/>
    <n v="1"/>
    <s v="Evening"/>
    <n v="0.31666666666666671"/>
    <s v="Hospital Road"/>
    <n v="50"/>
    <x v="3"/>
    <n v="1"/>
    <n v="0"/>
    <x v="0"/>
    <n v="29.9"/>
    <n v="10"/>
    <s v="UPI"/>
    <x v="0"/>
    <s v="No Rain"/>
  </r>
  <r>
    <s v="S00355"/>
    <x v="0"/>
    <x v="351"/>
    <d v="2025-12-21T16:20:00"/>
    <n v="0.31666666666666671"/>
    <n v="12.98"/>
    <b v="0"/>
    <d v="2025-12-21T00:00:00"/>
    <x v="11"/>
    <s v="Sunday"/>
    <n v="1"/>
    <s v="Afternoon"/>
    <n v="0.31666666666666671"/>
    <s v="Park Avenue"/>
    <n v="70"/>
    <x v="0"/>
    <n v="1"/>
    <n v="0"/>
    <x v="0"/>
    <n v="32.4"/>
    <n v="12.98"/>
    <s v="UPI"/>
    <x v="0"/>
    <s v="No Rain"/>
  </r>
  <r>
    <s v="S00356"/>
    <x v="0"/>
    <x v="352"/>
    <m/>
    <m/>
    <n v="12.71"/>
    <b v="1"/>
    <d v="2025-12-22T00:00:00"/>
    <x v="3"/>
    <s v="Monday"/>
    <n v="0"/>
    <s v="Evening"/>
    <m/>
    <s v="Park Avenue"/>
    <n v="70"/>
    <x v="0"/>
    <n v="0"/>
    <n v="0"/>
    <x v="0"/>
    <n v="23.7"/>
    <n v="12.71"/>
    <s v="CASH"/>
    <x v="0"/>
    <s v="No Rain"/>
  </r>
  <r>
    <s v="S00357"/>
    <x v="3"/>
    <x v="353"/>
    <d v="2025-12-23T19:54:00"/>
    <n v="0.96666666666666667"/>
    <n v="16.190000000000001"/>
    <b v="0"/>
    <d v="2025-12-23T00:00:00"/>
    <x v="12"/>
    <s v="Tuesday"/>
    <n v="0"/>
    <s v="Evening"/>
    <n v="0.96666666666666667"/>
    <s v="Hospital Road"/>
    <n v="50"/>
    <x v="3"/>
    <n v="0"/>
    <n v="0"/>
    <x v="0"/>
    <n v="28.2"/>
    <n v="16.190000000000001"/>
    <s v="CASH"/>
    <x v="0"/>
    <s v="No Rain"/>
  </r>
  <r>
    <s v="S00358"/>
    <x v="3"/>
    <x v="354"/>
    <d v="2025-12-24T11:20:00"/>
    <n v="1.666666666666667"/>
    <n v="20.190000000000001"/>
    <b v="0"/>
    <d v="2025-12-24T00:00:00"/>
    <x v="16"/>
    <s v="Wednesday"/>
    <n v="0"/>
    <s v="Morning"/>
    <n v="1.666666666666667"/>
    <s v="Hospital Road"/>
    <n v="50"/>
    <x v="3"/>
    <n v="0"/>
    <n v="0"/>
    <x v="0"/>
    <n v="35.9"/>
    <n v="20.190000000000001"/>
    <s v="UPI"/>
    <x v="0"/>
    <s v="No Rain"/>
  </r>
  <r>
    <s v="S00359"/>
    <x v="0"/>
    <x v="355"/>
    <d v="2025-12-25T13:35:00"/>
    <n v="2.9333333333333331"/>
    <n v="44.26"/>
    <b v="0"/>
    <d v="2025-12-25T00:00:00"/>
    <x v="5"/>
    <s v="Thursday"/>
    <n v="0"/>
    <s v="Morning"/>
    <n v="2.9333333333333331"/>
    <s v="Park Avenue"/>
    <n v="70"/>
    <x v="0"/>
    <n v="0"/>
    <n v="0"/>
    <x v="0"/>
    <n v="29.9"/>
    <n v="44.26"/>
    <s v="UPI"/>
    <x v="0"/>
    <s v="No Rain"/>
  </r>
  <r>
    <s v="S00360"/>
    <x v="0"/>
    <x v="356"/>
    <d v="2025-12-26T12:34:00"/>
    <n v="2.8666666666666671"/>
    <n v="36.68"/>
    <b v="0"/>
    <d v="2025-12-26T00:00:00"/>
    <x v="16"/>
    <s v="Friday"/>
    <n v="0"/>
    <s v="Morning"/>
    <n v="2.8666666666666671"/>
    <s v="Park Avenue"/>
    <n v="70"/>
    <x v="0"/>
    <n v="0"/>
    <n v="1"/>
    <x v="0"/>
    <n v="33.700000000000003"/>
    <n v="36.68"/>
    <s v="CASH"/>
    <x v="1"/>
    <s v="No Rain"/>
  </r>
  <r>
    <s v="S00361"/>
    <x v="3"/>
    <x v="357"/>
    <d v="2025-12-28T03:26:00"/>
    <n v="5.4"/>
    <n v="78.67"/>
    <b v="0"/>
    <d v="2025-12-27T00:00:00"/>
    <x v="9"/>
    <s v="Saturday"/>
    <n v="1"/>
    <s v="Late Night"/>
    <n v="5.4"/>
    <s v="Hospital Road"/>
    <n v="50"/>
    <x v="3"/>
    <n v="1"/>
    <n v="0"/>
    <x v="1"/>
    <n v="30.4"/>
    <n v="78.67"/>
    <s v="UPI"/>
    <x v="0"/>
    <s v="Rain"/>
  </r>
  <r>
    <s v="S00362"/>
    <x v="4"/>
    <x v="358"/>
    <d v="2025-12-28T10:07:00"/>
    <n v="1.9"/>
    <n v="29.87"/>
    <b v="0"/>
    <d v="2025-12-28T00:00:00"/>
    <x v="10"/>
    <s v="Sunday"/>
    <n v="1"/>
    <s v="Morning"/>
    <n v="1.9"/>
    <s v="City Centre"/>
    <n v="80"/>
    <x v="1"/>
    <n v="1"/>
    <n v="0"/>
    <x v="0"/>
    <n v="25.4"/>
    <n v="29.87"/>
    <s v="UPI"/>
    <x v="0"/>
    <s v="No Rain"/>
  </r>
  <r>
    <s v="S00363"/>
    <x v="3"/>
    <x v="359"/>
    <d v="2025-12-29T14:24:00"/>
    <n v="0.58333333333333337"/>
    <n v="15.09"/>
    <b v="0"/>
    <d v="2025-12-29T00:00:00"/>
    <x v="0"/>
    <s v="Monday"/>
    <n v="0"/>
    <s v="Afternoon"/>
    <n v="0.58333333333333337"/>
    <s v="Hospital Road"/>
    <n v="50"/>
    <x v="3"/>
    <n v="0"/>
    <n v="0"/>
    <x v="1"/>
    <n v="31.2"/>
    <n v="15.09"/>
    <s v="UPI"/>
    <x v="0"/>
    <s v="Rain"/>
  </r>
  <r>
    <s v="S00364"/>
    <x v="3"/>
    <x v="360"/>
    <d v="2025-12-30T17:52:00"/>
    <n v="3.8"/>
    <n v="56.86"/>
    <b v="0"/>
    <d v="2025-12-30T00:00:00"/>
    <x v="7"/>
    <s v="Tuesday"/>
    <n v="0"/>
    <s v="Afternoon"/>
    <n v="3.8"/>
    <s v="Hospital Road"/>
    <n v="50"/>
    <x v="3"/>
    <n v="0"/>
    <n v="0"/>
    <x v="1"/>
    <n v="26.9"/>
    <n v="56.86"/>
    <s v="UPI"/>
    <x v="0"/>
    <s v="Rain"/>
  </r>
  <r>
    <s v="S00365"/>
    <x v="4"/>
    <x v="361"/>
    <d v="2025-12-31T23:51:00"/>
    <n v="1.75"/>
    <n v="29.3"/>
    <b v="0"/>
    <d v="2025-12-31T00:00:00"/>
    <x v="9"/>
    <s v="Wednesday"/>
    <n v="0"/>
    <s v="Late Night"/>
    <n v="1.75"/>
    <s v="City Centre"/>
    <n v="80"/>
    <x v="1"/>
    <n v="0"/>
    <n v="0"/>
    <x v="0"/>
    <n v="30"/>
    <n v="29.3"/>
    <s v="UPI"/>
    <x v="0"/>
    <s v="No Rain"/>
  </r>
  <r>
    <s v="S00366"/>
    <x v="0"/>
    <x v="362"/>
    <d v="2026-01-01T20:20:00"/>
    <n v="1.1499999999999999"/>
    <n v="21.78"/>
    <b v="0"/>
    <d v="2026-01-01T00:00:00"/>
    <x v="8"/>
    <s v="Thursday"/>
    <n v="0"/>
    <s v="Evening"/>
    <n v="1.1499999999999999"/>
    <s v="Park Avenue"/>
    <n v="70"/>
    <x v="0"/>
    <n v="0"/>
    <n v="0"/>
    <x v="0"/>
    <n v="34.9"/>
    <n v="21.78"/>
    <s v="CASH"/>
    <x v="0"/>
    <s v="No Rain"/>
  </r>
  <r>
    <s v="S00367"/>
    <x v="0"/>
    <x v="363"/>
    <d v="2026-01-02T21:18:00"/>
    <n v="3.2833333333333332"/>
    <n v="50.08"/>
    <b v="0"/>
    <d v="2026-01-02T00:00:00"/>
    <x v="12"/>
    <s v="Friday"/>
    <n v="0"/>
    <s v="Evening"/>
    <n v="3.2833333333333332"/>
    <s v="Park Avenue"/>
    <n v="70"/>
    <x v="0"/>
    <n v="0"/>
    <n v="0"/>
    <x v="1"/>
    <n v="28.8"/>
    <n v="50.08"/>
    <s v="UPI"/>
    <x v="0"/>
    <s v="Rain"/>
  </r>
  <r>
    <s v="S00368"/>
    <x v="0"/>
    <x v="364"/>
    <d v="2026-01-03T16:38:00"/>
    <n v="4.083333333333333"/>
    <n v="70.56"/>
    <b v="0"/>
    <d v="2026-01-03T00:00:00"/>
    <x v="4"/>
    <s v="Saturday"/>
    <n v="1"/>
    <s v="Afternoon"/>
    <n v="4.083333333333333"/>
    <s v="Park Avenue"/>
    <n v="70"/>
    <x v="0"/>
    <n v="1"/>
    <n v="0"/>
    <x v="0"/>
    <n v="27.9"/>
    <n v="70.56"/>
    <s v="UPI"/>
    <x v="0"/>
    <s v="No Rain"/>
  </r>
  <r>
    <s v="S00369"/>
    <x v="0"/>
    <x v="365"/>
    <d v="2026-01-04T15:44:00"/>
    <n v="3.2166666666666668"/>
    <n v="59.87"/>
    <b v="0"/>
    <d v="2026-01-04T00:00:00"/>
    <x v="4"/>
    <s v="Sunday"/>
    <n v="1"/>
    <s v="Afternoon"/>
    <n v="3.2166666666666668"/>
    <s v="Park Avenue"/>
    <n v="70"/>
    <x v="0"/>
    <n v="1"/>
    <n v="0"/>
    <x v="1"/>
    <n v="32.6"/>
    <n v="59.87"/>
    <s v="CASH"/>
    <x v="0"/>
    <s v="Rain"/>
  </r>
  <r>
    <s v="S00370"/>
    <x v="3"/>
    <x v="366"/>
    <d v="2026-01-05T23:10:00"/>
    <n v="4.1333333333333337"/>
    <n v="74.55"/>
    <b v="0"/>
    <d v="2026-01-05T00:00:00"/>
    <x v="8"/>
    <s v="Monday"/>
    <n v="0"/>
    <s v="Evening"/>
    <n v="4.1333333333333337"/>
    <s v="Hospital Road"/>
    <n v="50"/>
    <x v="3"/>
    <n v="0"/>
    <n v="0"/>
    <x v="0"/>
    <n v="27"/>
    <n v="74.55"/>
    <s v="CASH"/>
    <x v="0"/>
    <s v="No Rain"/>
  </r>
  <r>
    <s v="S00371"/>
    <x v="1"/>
    <x v="367"/>
    <d v="2026-01-06T20:16:00"/>
    <n v="4.3"/>
    <n v="73.430000000000007"/>
    <b v="0"/>
    <d v="2026-01-06T00:00:00"/>
    <x v="15"/>
    <s v="Tuesday"/>
    <n v="0"/>
    <s v="Afternoon"/>
    <n v="4.3"/>
    <s v="Market Street"/>
    <n v="60"/>
    <x v="1"/>
    <n v="0"/>
    <n v="0"/>
    <x v="0"/>
    <n v="31.7"/>
    <n v="73.430000000000007"/>
    <s v="CASH"/>
    <x v="0"/>
    <s v="No Rain"/>
  </r>
  <r>
    <s v="S00372"/>
    <x v="0"/>
    <x v="368"/>
    <d v="2026-01-07T15:19:00"/>
    <n v="0.93333333333333335"/>
    <n v="10"/>
    <b v="0"/>
    <d v="2026-01-07T00:00:00"/>
    <x v="7"/>
    <s v="Wednesday"/>
    <n v="0"/>
    <s v="Afternoon"/>
    <n v="0.93333333333333335"/>
    <s v="Park Avenue"/>
    <n v="70"/>
    <x v="0"/>
    <n v="0"/>
    <n v="0"/>
    <x v="0"/>
    <n v="24.8"/>
    <n v="10"/>
    <s v="UPI"/>
    <x v="0"/>
    <s v="No Rain"/>
  </r>
  <r>
    <s v="S00373"/>
    <x v="3"/>
    <x v="369"/>
    <d v="2026-01-08T14:44:00"/>
    <n v="2.1833333333333331"/>
    <n v="38.729999999999997"/>
    <b v="0"/>
    <d v="2026-01-08T00:00:00"/>
    <x v="4"/>
    <s v="Thursday"/>
    <n v="0"/>
    <s v="Afternoon"/>
    <n v="2.1833333333333331"/>
    <s v="Hospital Road"/>
    <n v="50"/>
    <x v="3"/>
    <n v="0"/>
    <n v="0"/>
    <x v="0"/>
    <n v="29.7"/>
    <n v="38.729999999999997"/>
    <s v="UPI"/>
    <x v="0"/>
    <s v="No Rain"/>
  </r>
  <r>
    <s v="S00374"/>
    <x v="4"/>
    <x v="370"/>
    <d v="2026-01-09T17:59:00"/>
    <n v="2.9333333333333331"/>
    <n v="35.31"/>
    <b v="0"/>
    <d v="2026-01-09T00:00:00"/>
    <x v="15"/>
    <s v="Friday"/>
    <n v="0"/>
    <s v="Afternoon"/>
    <n v="2.9333333333333331"/>
    <s v="City Centre"/>
    <n v="80"/>
    <x v="1"/>
    <n v="0"/>
    <n v="0"/>
    <x v="0"/>
    <n v="30.3"/>
    <n v="35.31"/>
    <s v="UPI"/>
    <x v="0"/>
    <s v="No Rain"/>
  </r>
  <r>
    <s v="S00375"/>
    <x v="3"/>
    <x v="371"/>
    <d v="2026-01-10T11:00:00"/>
    <n v="2.7833333333333332"/>
    <n v="39.24"/>
    <b v="0"/>
    <d v="2026-01-10T00:00:00"/>
    <x v="10"/>
    <s v="Saturday"/>
    <n v="1"/>
    <s v="Morning"/>
    <n v="2.7833333333333332"/>
    <s v="Hospital Road"/>
    <n v="50"/>
    <x v="3"/>
    <n v="1"/>
    <n v="0"/>
    <x v="0"/>
    <n v="30.4"/>
    <n v="39.24"/>
    <s v="CASH"/>
    <x v="0"/>
    <s v="No Rain"/>
  </r>
  <r>
    <s v="S00376"/>
    <x v="2"/>
    <x v="372"/>
    <d v="2026-01-11T22:48:00"/>
    <n v="0.71666666666666667"/>
    <n v="10.19"/>
    <b v="0"/>
    <d v="2026-01-11T00:00:00"/>
    <x v="9"/>
    <s v="Sunday"/>
    <n v="1"/>
    <s v="Late Night"/>
    <n v="0.71666666666666667"/>
    <s v="Railway Station"/>
    <n v="100"/>
    <x v="2"/>
    <n v="1"/>
    <n v="0"/>
    <x v="0"/>
    <n v="28.3"/>
    <n v="10.19"/>
    <s v="CARD"/>
    <x v="0"/>
    <s v="No Rain"/>
  </r>
  <r>
    <s v="S00377"/>
    <x v="3"/>
    <x v="373"/>
    <d v="2026-01-12T12:08:00"/>
    <n v="2.4"/>
    <n v="39.61"/>
    <b v="0"/>
    <d v="2026-01-12T00:00:00"/>
    <x v="16"/>
    <s v="Monday"/>
    <n v="0"/>
    <s v="Morning"/>
    <n v="2.4"/>
    <s v="Hospital Road"/>
    <n v="50"/>
    <x v="3"/>
    <n v="0"/>
    <n v="0"/>
    <x v="0"/>
    <n v="29.2"/>
    <n v="39.61"/>
    <s v="CASH"/>
    <x v="0"/>
    <s v="No Rain"/>
  </r>
  <r>
    <s v="S00378"/>
    <x v="4"/>
    <x v="374"/>
    <d v="2026-01-13T17:51:00"/>
    <n v="3.5166666666666671"/>
    <n v="58"/>
    <b v="0"/>
    <d v="2026-01-13T00:00:00"/>
    <x v="7"/>
    <s v="Tuesday"/>
    <n v="0"/>
    <s v="Afternoon"/>
    <n v="3.5166666666666671"/>
    <s v="City Centre"/>
    <n v="80"/>
    <x v="1"/>
    <n v="0"/>
    <n v="0"/>
    <x v="0"/>
    <n v="33.5"/>
    <n v="58"/>
    <s v="UPI"/>
    <x v="0"/>
    <s v="No Rain"/>
  </r>
  <r>
    <s v="S00379"/>
    <x v="4"/>
    <x v="375"/>
    <d v="2026-01-14T14:15:00"/>
    <n v="6.7833333333333332"/>
    <n v="107.22"/>
    <b v="0"/>
    <d v="2026-01-14T00:00:00"/>
    <x v="1"/>
    <s v="Wednesday"/>
    <n v="0"/>
    <s v="Morning"/>
    <n v="6.7833333333333332"/>
    <s v="City Centre"/>
    <n v="80"/>
    <x v="1"/>
    <n v="0"/>
    <n v="0"/>
    <x v="0"/>
    <n v="29"/>
    <n v="107.22"/>
    <s v="CASH"/>
    <x v="0"/>
    <s v="No Rain"/>
  </r>
  <r>
    <s v="S00380"/>
    <x v="3"/>
    <x v="376"/>
    <d v="2026-01-15T19:06:00"/>
    <n v="1.9333333333333329"/>
    <n v="28.49"/>
    <b v="0"/>
    <d v="2026-01-15T00:00:00"/>
    <x v="2"/>
    <s v="Thursday"/>
    <n v="0"/>
    <s v="Evening"/>
    <n v="1.9333333333333329"/>
    <s v="Hospital Road"/>
    <n v="50"/>
    <x v="3"/>
    <n v="1"/>
    <n v="0"/>
    <x v="0"/>
    <n v="29.1"/>
    <n v="28.49"/>
    <s v="CARD"/>
    <x v="0"/>
    <s v="No Rain"/>
  </r>
  <r>
    <s v="S00381"/>
    <x v="3"/>
    <x v="377"/>
    <d v="2026-01-16T09:32:00"/>
    <n v="0.85"/>
    <n v="10"/>
    <b v="0"/>
    <d v="2026-01-16T00:00:00"/>
    <x v="10"/>
    <s v="Friday"/>
    <n v="0"/>
    <s v="Morning"/>
    <n v="0.85"/>
    <s v="Hospital Road"/>
    <n v="50"/>
    <x v="3"/>
    <n v="0"/>
    <n v="0"/>
    <x v="1"/>
    <n v="32"/>
    <n v="10"/>
    <s v="CASH"/>
    <x v="0"/>
    <s v="Rain"/>
  </r>
  <r>
    <s v="S00382"/>
    <x v="1"/>
    <x v="378"/>
    <d v="2026-01-17T19:15:00"/>
    <n v="0.98333333333333328"/>
    <n v="10"/>
    <b v="0"/>
    <d v="2026-01-17T00:00:00"/>
    <x v="12"/>
    <s v="Saturday"/>
    <n v="1"/>
    <s v="Evening"/>
    <n v="0.98333333333333328"/>
    <s v="Market Street"/>
    <n v="60"/>
    <x v="1"/>
    <n v="1"/>
    <n v="0"/>
    <x v="0"/>
    <n v="25.9"/>
    <n v="10"/>
    <s v="CARD"/>
    <x v="0"/>
    <s v="No Rain"/>
  </r>
  <r>
    <s v="S00383"/>
    <x v="1"/>
    <x v="379"/>
    <d v="2026-01-18T23:16:00"/>
    <n v="1.7666666666666671"/>
    <n v="25.52"/>
    <b v="0"/>
    <d v="2026-01-18T00:00:00"/>
    <x v="13"/>
    <s v="Sunday"/>
    <n v="1"/>
    <s v="Late Night"/>
    <n v="1.7666666666666671"/>
    <s v="Market Street"/>
    <n v="60"/>
    <x v="1"/>
    <n v="1"/>
    <n v="0"/>
    <x v="1"/>
    <n v="23.9"/>
    <n v="25.52"/>
    <s v="CARD"/>
    <x v="0"/>
    <s v="Rain"/>
  </r>
  <r>
    <s v="S00384"/>
    <x v="2"/>
    <x v="380"/>
    <d v="2026-01-19T13:45:00"/>
    <n v="1.5"/>
    <n v="22.46"/>
    <b v="0"/>
    <d v="2026-01-19T00:00:00"/>
    <x v="4"/>
    <s v="Monday"/>
    <n v="0"/>
    <s v="Afternoon"/>
    <n v="1.5"/>
    <s v="Railway Station"/>
    <n v="100"/>
    <x v="2"/>
    <n v="0"/>
    <n v="0"/>
    <x v="0"/>
    <n v="29.9"/>
    <n v="22.46"/>
    <s v="CASH"/>
    <x v="0"/>
    <s v="No Rain"/>
  </r>
  <r>
    <s v="S00385"/>
    <x v="0"/>
    <x v="381"/>
    <d v="2026-01-20T13:32:00"/>
    <n v="1.916666666666667"/>
    <n v="27.78"/>
    <b v="0"/>
    <d v="2026-01-20T00:00:00"/>
    <x v="14"/>
    <s v="Tuesday"/>
    <n v="0"/>
    <s v="Morning"/>
    <n v="1.916666666666667"/>
    <s v="Park Avenue"/>
    <n v="70"/>
    <x v="0"/>
    <n v="0"/>
    <n v="0"/>
    <x v="0"/>
    <n v="30.8"/>
    <n v="27.78"/>
    <s v="UPI"/>
    <x v="0"/>
    <s v="No Rain"/>
  </r>
  <r>
    <s v="S00386"/>
    <x v="0"/>
    <x v="382"/>
    <d v="2026-01-21T19:51:00"/>
    <n v="1.6166666666666669"/>
    <n v="26.76"/>
    <b v="0"/>
    <d v="2026-01-21T00:00:00"/>
    <x v="12"/>
    <s v="Wednesday"/>
    <n v="0"/>
    <s v="Evening"/>
    <n v="1.6166666666666669"/>
    <s v="Park Avenue"/>
    <n v="70"/>
    <x v="0"/>
    <n v="0"/>
    <n v="0"/>
    <x v="0"/>
    <n v="23.1"/>
    <n v="26.76"/>
    <s v="UPI"/>
    <x v="0"/>
    <s v="No Rain"/>
  </r>
  <r>
    <s v="S00387"/>
    <x v="4"/>
    <x v="383"/>
    <d v="2026-01-22T14:15:00"/>
    <n v="1.8166666666666671"/>
    <n v="31.17"/>
    <b v="0"/>
    <d v="2026-01-22T00:00:00"/>
    <x v="4"/>
    <s v="Thursday"/>
    <n v="0"/>
    <s v="Afternoon"/>
    <n v="1.8166666666666671"/>
    <s v="City Centre"/>
    <n v="80"/>
    <x v="1"/>
    <n v="0"/>
    <n v="0"/>
    <x v="1"/>
    <n v="29.1"/>
    <n v="31.17"/>
    <s v="UPI"/>
    <x v="0"/>
    <s v="Rain"/>
  </r>
  <r>
    <s v="S00388"/>
    <x v="3"/>
    <x v="384"/>
    <d v="2026-01-23T09:01:00"/>
    <n v="1.0166666666666671"/>
    <n v="24.31"/>
    <b v="0"/>
    <d v="2026-01-23T00:00:00"/>
    <x v="10"/>
    <s v="Friday"/>
    <n v="0"/>
    <s v="Morning"/>
    <n v="1.0166666666666671"/>
    <s v="Hospital Road"/>
    <n v="50"/>
    <x v="3"/>
    <n v="0"/>
    <n v="0"/>
    <x v="0"/>
    <n v="27.8"/>
    <n v="24.31"/>
    <s v="CARD"/>
    <x v="0"/>
    <s v="No Rain"/>
  </r>
  <r>
    <s v="S00389"/>
    <x v="4"/>
    <x v="385"/>
    <d v="2026-01-24T13:00:00"/>
    <n v="3.8666666666666671"/>
    <n v="53.78"/>
    <b v="0"/>
    <d v="2026-01-24T00:00:00"/>
    <x v="16"/>
    <s v="Saturday"/>
    <n v="1"/>
    <s v="Morning"/>
    <n v="3.8666666666666671"/>
    <s v="City Centre"/>
    <n v="80"/>
    <x v="1"/>
    <n v="1"/>
    <n v="0"/>
    <x v="0"/>
    <n v="29.4"/>
    <n v="53.78"/>
    <s v="UPI"/>
    <x v="0"/>
    <s v="No Rain"/>
  </r>
  <r>
    <s v="S00390"/>
    <x v="1"/>
    <x v="386"/>
    <d v="2026-01-26T00:06:00"/>
    <n v="3.9666666666666668"/>
    <n v="55.28"/>
    <b v="0"/>
    <d v="2026-01-25T00:00:00"/>
    <x v="3"/>
    <s v="Sunday"/>
    <n v="1"/>
    <s v="Evening"/>
    <n v="3.9666666666666668"/>
    <s v="Market Street"/>
    <n v="60"/>
    <x v="1"/>
    <n v="1"/>
    <n v="0"/>
    <x v="1"/>
    <n v="37.799999999999997"/>
    <n v="55.28"/>
    <s v="UPI"/>
    <x v="0"/>
    <s v="Rain"/>
  </r>
  <r>
    <s v="S00391"/>
    <x v="2"/>
    <x v="387"/>
    <d v="2026-01-26T15:58:00"/>
    <n v="1.333333333333333"/>
    <n v="23.88"/>
    <b v="0"/>
    <d v="2026-01-26T00:00:00"/>
    <x v="7"/>
    <s v="Monday"/>
    <n v="0"/>
    <s v="Afternoon"/>
    <n v="1.333333333333333"/>
    <s v="Railway Station"/>
    <n v="100"/>
    <x v="2"/>
    <n v="1"/>
    <n v="0"/>
    <x v="1"/>
    <n v="28.4"/>
    <n v="23.88"/>
    <s v="CARD"/>
    <x v="0"/>
    <s v="Rain"/>
  </r>
  <r>
    <s v="S00392"/>
    <x v="1"/>
    <x v="388"/>
    <d v="2026-01-27T20:39:00"/>
    <n v="0.83333333333333337"/>
    <n v="10"/>
    <b v="0"/>
    <d v="2026-01-27T00:00:00"/>
    <x v="8"/>
    <s v="Tuesday"/>
    <n v="0"/>
    <s v="Evening"/>
    <n v="0.83333333333333337"/>
    <s v="Market Street"/>
    <n v="60"/>
    <x v="1"/>
    <n v="0"/>
    <n v="0"/>
    <x v="0"/>
    <n v="25.2"/>
    <n v="10"/>
    <s v="UPI"/>
    <x v="0"/>
    <s v="No Rain"/>
  </r>
  <r>
    <s v="S00393"/>
    <x v="3"/>
    <x v="389"/>
    <d v="2026-01-28T14:23:00"/>
    <n v="1.3833333333333331"/>
    <n v="25.35"/>
    <b v="0"/>
    <d v="2026-01-28T00:00:00"/>
    <x v="0"/>
    <s v="Wednesday"/>
    <n v="0"/>
    <s v="Afternoon"/>
    <n v="1.3833333333333331"/>
    <s v="Hospital Road"/>
    <n v="50"/>
    <x v="3"/>
    <n v="0"/>
    <n v="0"/>
    <x v="0"/>
    <n v="29.4"/>
    <n v="25.35"/>
    <s v="CASH"/>
    <x v="0"/>
    <s v="No Rain"/>
  </r>
  <r>
    <s v="S00394"/>
    <x v="4"/>
    <x v="390"/>
    <d v="2026-01-29T22:59:00"/>
    <n v="0.8666666666666667"/>
    <n v="12.27"/>
    <b v="0"/>
    <d v="2026-01-29T00:00:00"/>
    <x v="9"/>
    <s v="Thursday"/>
    <n v="0"/>
    <s v="Late Night"/>
    <n v="0.8666666666666667"/>
    <s v="City Centre"/>
    <n v="80"/>
    <x v="1"/>
    <n v="0"/>
    <n v="0"/>
    <x v="1"/>
    <n v="26.6"/>
    <n v="12.27"/>
    <s v="UPI"/>
    <x v="0"/>
    <s v="Rain"/>
  </r>
  <r>
    <s v="S00395"/>
    <x v="4"/>
    <x v="391"/>
    <d v="2026-01-30T23:21:00"/>
    <n v="3.6333333333333329"/>
    <n v="50.62"/>
    <b v="0"/>
    <d v="2026-01-30T00:00:00"/>
    <x v="8"/>
    <s v="Friday"/>
    <n v="0"/>
    <s v="Evening"/>
    <n v="3.6333333333333329"/>
    <s v="City Centre"/>
    <n v="80"/>
    <x v="1"/>
    <n v="0"/>
    <n v="0"/>
    <x v="0"/>
    <n v="31.3"/>
    <n v="50.62"/>
    <s v="UPI"/>
    <x v="0"/>
    <s v="No Rain"/>
  </r>
  <r>
    <s v="S00396"/>
    <x v="4"/>
    <x v="392"/>
    <d v="2026-01-31T20:41:00"/>
    <n v="1.4"/>
    <n v="22.49"/>
    <b v="0"/>
    <d v="2026-01-31T00:00:00"/>
    <x v="8"/>
    <s v="Saturday"/>
    <n v="1"/>
    <s v="Evening"/>
    <n v="1.4"/>
    <s v="City Centre"/>
    <n v="80"/>
    <x v="1"/>
    <n v="1"/>
    <n v="0"/>
    <x v="0"/>
    <n v="34.799999999999997"/>
    <n v="22.49"/>
    <s v="UPI"/>
    <x v="0"/>
    <s v="No Rain"/>
  </r>
  <r>
    <s v="S00397"/>
    <x v="1"/>
    <x v="393"/>
    <d v="2026-02-01T23:15:00"/>
    <n v="0.75"/>
    <n v="10"/>
    <b v="0"/>
    <d v="2026-02-01T00:00:00"/>
    <x v="9"/>
    <s v="Sunday"/>
    <n v="1"/>
    <s v="Late Night"/>
    <n v="0.75"/>
    <s v="Market Street"/>
    <n v="60"/>
    <x v="1"/>
    <n v="1"/>
    <n v="0"/>
    <x v="0"/>
    <n v="30.8"/>
    <n v="10"/>
    <s v="UPI"/>
    <x v="0"/>
    <s v="No Rain"/>
  </r>
  <r>
    <s v="S00398"/>
    <x v="3"/>
    <x v="394"/>
    <d v="2026-02-02T10:21:00"/>
    <n v="0.7"/>
    <n v="10"/>
    <b v="0"/>
    <d v="2026-02-02T00:00:00"/>
    <x v="16"/>
    <s v="Monday"/>
    <n v="0"/>
    <s v="Morning"/>
    <n v="0.7"/>
    <s v="Hospital Road"/>
    <n v="50"/>
    <x v="3"/>
    <n v="0"/>
    <n v="0"/>
    <x v="1"/>
    <n v="30.8"/>
    <n v="10"/>
    <s v="UPI"/>
    <x v="0"/>
    <s v="Rain"/>
  </r>
  <r>
    <s v="S00399"/>
    <x v="2"/>
    <x v="395"/>
    <d v="2026-02-03T21:55:00"/>
    <n v="8"/>
    <n v="125.07"/>
    <b v="0"/>
    <d v="2026-02-03T00:00:00"/>
    <x v="0"/>
    <s v="Tuesday"/>
    <n v="0"/>
    <s v="Afternoon"/>
    <n v="8"/>
    <s v="Railway Station"/>
    <n v="100"/>
    <x v="2"/>
    <n v="0"/>
    <n v="0"/>
    <x v="0"/>
    <n v="28.1"/>
    <n v="125.07"/>
    <s v="CARD"/>
    <x v="0"/>
    <s v="No Rain"/>
  </r>
  <r>
    <s v="S00400"/>
    <x v="2"/>
    <x v="396"/>
    <d v="2026-02-04T13:11:00"/>
    <n v="1.9"/>
    <n v="30.37"/>
    <b v="0"/>
    <d v="2026-02-04T00:00:00"/>
    <x v="14"/>
    <s v="Wednesday"/>
    <n v="0"/>
    <s v="Morning"/>
    <n v="1.9"/>
    <s v="Railway Station"/>
    <n v="100"/>
    <x v="2"/>
    <n v="0"/>
    <n v="0"/>
    <x v="1"/>
    <n v="26.6"/>
    <n v="30.37"/>
    <s v="UPI"/>
    <x v="0"/>
    <s v="Rain"/>
  </r>
  <r>
    <s v="S00401"/>
    <x v="0"/>
    <x v="397"/>
    <d v="2026-02-05T19:06:00"/>
    <n v="1.2"/>
    <n v="21.73"/>
    <b v="0"/>
    <d v="2026-02-05T00:00:00"/>
    <x v="2"/>
    <s v="Thursday"/>
    <n v="0"/>
    <s v="Evening"/>
    <n v="1.2"/>
    <s v="Park Avenue"/>
    <n v="70"/>
    <x v="0"/>
    <n v="0"/>
    <n v="0"/>
    <x v="0"/>
    <n v="30.3"/>
    <n v="21.73"/>
    <s v="UPI"/>
    <x v="0"/>
    <s v="No Rain"/>
  </r>
  <r>
    <s v="S00402"/>
    <x v="3"/>
    <x v="398"/>
    <d v="2026-02-07T01:08:00"/>
    <n v="4.0666666666666664"/>
    <n v="65.03"/>
    <b v="0"/>
    <d v="2026-02-06T00:00:00"/>
    <x v="13"/>
    <s v="Friday"/>
    <n v="0"/>
    <s v="Late Night"/>
    <n v="4.0666666666666664"/>
    <s v="Hospital Road"/>
    <n v="50"/>
    <x v="3"/>
    <n v="0"/>
    <n v="0"/>
    <x v="0"/>
    <n v="25.6"/>
    <n v="65.03"/>
    <s v="UPI"/>
    <x v="0"/>
    <s v="No Rain"/>
  </r>
  <r>
    <s v="S00403"/>
    <x v="0"/>
    <x v="399"/>
    <d v="2026-02-07T20:06:00"/>
    <n v="3.05"/>
    <n v="61.88"/>
    <b v="0"/>
    <d v="2026-02-07T00:00:00"/>
    <x v="2"/>
    <s v="Saturday"/>
    <n v="1"/>
    <s v="Evening"/>
    <n v="3.05"/>
    <s v="Park Avenue"/>
    <n v="70"/>
    <x v="0"/>
    <n v="1"/>
    <n v="0"/>
    <x v="0"/>
    <n v="29.8"/>
    <n v="61.88"/>
    <s v="UPI"/>
    <x v="0"/>
    <s v="No Rain"/>
  </r>
  <r>
    <s v="S00404"/>
    <x v="0"/>
    <x v="400"/>
    <d v="2026-02-09T01:28:00"/>
    <n v="3.2"/>
    <n v="51.2"/>
    <b v="0"/>
    <d v="2026-02-08T00:00:00"/>
    <x v="9"/>
    <s v="Sunday"/>
    <n v="1"/>
    <s v="Late Night"/>
    <n v="3.2"/>
    <s v="Park Avenue"/>
    <n v="70"/>
    <x v="0"/>
    <n v="1"/>
    <n v="0"/>
    <x v="1"/>
    <n v="27"/>
    <n v="51.2"/>
    <s v="CARD"/>
    <x v="0"/>
    <s v="Rain"/>
  </r>
  <r>
    <s v="S00405"/>
    <x v="0"/>
    <x v="401"/>
    <d v="2026-02-09T16:03:00"/>
    <n v="3.6"/>
    <n v="63.08"/>
    <b v="0"/>
    <d v="2026-02-09T00:00:00"/>
    <x v="4"/>
    <s v="Monday"/>
    <n v="0"/>
    <s v="Afternoon"/>
    <n v="3.6"/>
    <s v="Park Avenue"/>
    <n v="70"/>
    <x v="0"/>
    <n v="0"/>
    <n v="0"/>
    <x v="1"/>
    <n v="34.200000000000003"/>
    <n v="63.08"/>
    <s v="CARD"/>
    <x v="0"/>
    <s v="Rain"/>
  </r>
  <r>
    <s v="S00406"/>
    <x v="1"/>
    <x v="402"/>
    <d v="2026-02-10T15:36:00"/>
    <n v="1.466666666666667"/>
    <n v="25.54"/>
    <b v="0"/>
    <d v="2026-02-10T00:00:00"/>
    <x v="7"/>
    <s v="Tuesday"/>
    <n v="0"/>
    <s v="Afternoon"/>
    <n v="1.466666666666667"/>
    <s v="Market Street"/>
    <n v="60"/>
    <x v="1"/>
    <n v="0"/>
    <n v="0"/>
    <x v="0"/>
    <n v="27.2"/>
    <n v="25.54"/>
    <s v="CASH"/>
    <x v="0"/>
    <s v="No Rain"/>
  </r>
  <r>
    <s v="S00407"/>
    <x v="0"/>
    <x v="403"/>
    <d v="2026-02-11T12:28:00"/>
    <n v="0.58333333333333337"/>
    <n v="11.54"/>
    <b v="0"/>
    <d v="2026-02-11T00:00:00"/>
    <x v="14"/>
    <s v="Wednesday"/>
    <n v="0"/>
    <s v="Morning"/>
    <n v="0.58333333333333337"/>
    <s v="Park Avenue"/>
    <n v="70"/>
    <x v="0"/>
    <n v="0"/>
    <n v="0"/>
    <x v="0"/>
    <n v="33.799999999999997"/>
    <n v="11.54"/>
    <s v="CARD"/>
    <x v="0"/>
    <s v="No Rain"/>
  </r>
  <r>
    <s v="S00408"/>
    <x v="2"/>
    <x v="404"/>
    <d v="2026-02-12T11:07:00"/>
    <n v="1.533333333333333"/>
    <n v="18.239999999999998"/>
    <b v="0"/>
    <d v="2026-02-12T00:00:00"/>
    <x v="16"/>
    <s v="Thursday"/>
    <n v="0"/>
    <s v="Morning"/>
    <n v="1.533333333333333"/>
    <s v="Railway Station"/>
    <n v="100"/>
    <x v="2"/>
    <n v="0"/>
    <n v="0"/>
    <x v="0"/>
    <n v="32.5"/>
    <n v="18.239999999999998"/>
    <s v="UPI"/>
    <x v="0"/>
    <s v="No Rain"/>
  </r>
  <r>
    <s v="S00409"/>
    <x v="0"/>
    <x v="405"/>
    <d v="2026-02-13T10:43:00"/>
    <n v="0.6166666666666667"/>
    <n v="10"/>
    <b v="0"/>
    <d v="2026-02-13T00:00:00"/>
    <x v="5"/>
    <s v="Friday"/>
    <n v="0"/>
    <s v="Morning"/>
    <n v="0.6166666666666667"/>
    <s v="Park Avenue"/>
    <n v="70"/>
    <x v="0"/>
    <n v="0"/>
    <n v="0"/>
    <x v="0"/>
    <n v="29.5"/>
    <n v="10"/>
    <s v="UPI"/>
    <x v="0"/>
    <s v="No Rain"/>
  </r>
  <r>
    <s v="S00410"/>
    <x v="0"/>
    <x v="406"/>
    <d v="2026-02-14T21:23:00"/>
    <n v="2.7166666666666668"/>
    <n v="33.520000000000003"/>
    <b v="0"/>
    <d v="2026-02-14T00:00:00"/>
    <x v="12"/>
    <s v="Saturday"/>
    <n v="1"/>
    <s v="Evening"/>
    <n v="2.7166666666666668"/>
    <s v="Park Avenue"/>
    <n v="70"/>
    <x v="0"/>
    <n v="1"/>
    <n v="0"/>
    <x v="1"/>
    <n v="33.200000000000003"/>
    <n v="33.520000000000003"/>
    <s v="CARD"/>
    <x v="0"/>
    <s v="Rain"/>
  </r>
  <r>
    <s v="S00411"/>
    <x v="0"/>
    <x v="407"/>
    <d v="2026-02-15T22:13:00"/>
    <n v="0.95"/>
    <n v="12.87"/>
    <b v="0"/>
    <d v="2026-02-15T00:00:00"/>
    <x v="13"/>
    <s v="Sunday"/>
    <n v="1"/>
    <s v="Late Night"/>
    <n v="0.95"/>
    <s v="Park Avenue"/>
    <n v="70"/>
    <x v="0"/>
    <n v="1"/>
    <n v="0"/>
    <x v="0"/>
    <n v="29"/>
    <n v="12.87"/>
    <s v="CASH"/>
    <x v="0"/>
    <s v="No Rain"/>
  </r>
  <r>
    <s v="S00412"/>
    <x v="0"/>
    <x v="408"/>
    <d v="2026-02-16T16:57:00"/>
    <n v="0.76666666666666672"/>
    <n v="10"/>
    <b v="0"/>
    <d v="2026-02-16T00:00:00"/>
    <x v="11"/>
    <s v="Monday"/>
    <n v="0"/>
    <s v="Afternoon"/>
    <n v="0.76666666666666672"/>
    <s v="Park Avenue"/>
    <n v="70"/>
    <x v="0"/>
    <n v="0"/>
    <n v="0"/>
    <x v="0"/>
    <n v="29.4"/>
    <n v="10"/>
    <s v="UPI"/>
    <x v="0"/>
    <s v="No Rain"/>
  </r>
  <r>
    <s v="S00413"/>
    <x v="3"/>
    <x v="409"/>
    <d v="2026-02-17T12:01:00"/>
    <n v="3.1166666666666671"/>
    <n v="55.67"/>
    <b v="0"/>
    <d v="2026-02-17T00:00:00"/>
    <x v="10"/>
    <s v="Tuesday"/>
    <n v="0"/>
    <s v="Morning"/>
    <n v="3.1166666666666671"/>
    <s v="Hospital Road"/>
    <n v="50"/>
    <x v="3"/>
    <n v="0"/>
    <n v="0"/>
    <x v="0"/>
    <n v="28.2"/>
    <n v="55.67"/>
    <s v="CARD"/>
    <x v="0"/>
    <s v="No Rain"/>
  </r>
  <r>
    <s v="S00414"/>
    <x v="0"/>
    <x v="410"/>
    <d v="2026-02-18T23:00:00"/>
    <n v="3.05"/>
    <n v="51.14"/>
    <b v="0"/>
    <d v="2026-02-18T00:00:00"/>
    <x v="8"/>
    <s v="Wednesday"/>
    <n v="0"/>
    <s v="Evening"/>
    <n v="3.05"/>
    <s v="Park Avenue"/>
    <n v="70"/>
    <x v="0"/>
    <n v="0"/>
    <n v="0"/>
    <x v="0"/>
    <n v="30.3"/>
    <n v="51.14"/>
    <s v="CASH"/>
    <x v="0"/>
    <s v="No Rain"/>
  </r>
  <r>
    <s v="S00416"/>
    <x v="0"/>
    <x v="411"/>
    <d v="2026-02-20T14:40:00"/>
    <n v="2.4333333333333331"/>
    <n v="47.12"/>
    <b v="0"/>
    <d v="2026-02-20T00:00:00"/>
    <x v="4"/>
    <s v="Friday"/>
    <n v="0"/>
    <s v="Afternoon"/>
    <n v="2.4333333333333331"/>
    <s v="Park Avenue"/>
    <n v="70"/>
    <x v="0"/>
    <n v="0"/>
    <n v="0"/>
    <x v="1"/>
    <n v="27.6"/>
    <n v="47.12"/>
    <s v="UPI"/>
    <x v="0"/>
    <s v="Rain"/>
  </r>
  <r>
    <s v="S00417"/>
    <x v="2"/>
    <x v="412"/>
    <d v="2026-02-22T01:07:00"/>
    <n v="3.4666666666666668"/>
    <n v="56.43"/>
    <b v="0"/>
    <d v="2026-02-21T00:00:00"/>
    <x v="13"/>
    <s v="Saturday"/>
    <n v="1"/>
    <s v="Late Night"/>
    <n v="3.4666666666666668"/>
    <s v="Railway Station"/>
    <n v="100"/>
    <x v="2"/>
    <n v="1"/>
    <n v="0"/>
    <x v="0"/>
    <n v="33.4"/>
    <n v="56.43"/>
    <s v="CASH"/>
    <x v="0"/>
    <s v="No Rain"/>
  </r>
  <r>
    <s v="S00418"/>
    <x v="4"/>
    <x v="413"/>
    <d v="2026-02-22T23:01:00"/>
    <n v="1.9833333333333329"/>
    <n v="25.66"/>
    <b v="0"/>
    <d v="2026-02-22T00:00:00"/>
    <x v="13"/>
    <s v="Sunday"/>
    <n v="1"/>
    <s v="Late Night"/>
    <n v="1.9833333333333329"/>
    <s v="City Centre"/>
    <n v="80"/>
    <x v="1"/>
    <n v="1"/>
    <n v="0"/>
    <x v="0"/>
    <n v="31.7"/>
    <n v="25.66"/>
    <s v="UPI"/>
    <x v="0"/>
    <s v="No Rain"/>
  </r>
  <r>
    <s v="S00419"/>
    <x v="4"/>
    <x v="414"/>
    <d v="2026-02-23T15:23:00"/>
    <n v="3.8666666666666671"/>
    <n v="50.92"/>
    <b v="0"/>
    <d v="2026-02-23T00:00:00"/>
    <x v="14"/>
    <s v="Monday"/>
    <n v="0"/>
    <s v="Morning"/>
    <n v="3.8666666666666671"/>
    <s v="City Centre"/>
    <n v="80"/>
    <x v="1"/>
    <n v="0"/>
    <n v="0"/>
    <x v="0"/>
    <n v="31"/>
    <n v="50.92"/>
    <s v="CARD"/>
    <x v="0"/>
    <s v="No Rain"/>
  </r>
  <r>
    <s v="S00420"/>
    <x v="4"/>
    <x v="415"/>
    <d v="2026-02-24T14:20:00"/>
    <n v="1.6166666666666669"/>
    <n v="27.09"/>
    <b v="0"/>
    <d v="2026-02-24T00:00:00"/>
    <x v="4"/>
    <s v="Tuesday"/>
    <n v="0"/>
    <s v="Afternoon"/>
    <n v="1.6166666666666669"/>
    <s v="City Centre"/>
    <n v="80"/>
    <x v="1"/>
    <n v="0"/>
    <n v="0"/>
    <x v="0"/>
    <n v="31.6"/>
    <n v="27.09"/>
    <s v="CASH"/>
    <x v="0"/>
    <s v="No Rain"/>
  </r>
  <r>
    <s v="S00421"/>
    <x v="4"/>
    <x v="416"/>
    <d v="2026-02-25T16:28:00"/>
    <n v="0.68333333333333335"/>
    <n v="15.39"/>
    <b v="0"/>
    <d v="2026-02-25T00:00:00"/>
    <x v="15"/>
    <s v="Wednesday"/>
    <n v="0"/>
    <s v="Afternoon"/>
    <n v="0.68333333333333335"/>
    <s v="City Centre"/>
    <n v="80"/>
    <x v="1"/>
    <n v="0"/>
    <n v="0"/>
    <x v="0"/>
    <n v="33.700000000000003"/>
    <n v="15.39"/>
    <s v="CARD"/>
    <x v="0"/>
    <s v="No Rain"/>
  </r>
  <r>
    <s v="S00422"/>
    <x v="0"/>
    <x v="417"/>
    <d v="2026-02-26T10:57:00"/>
    <n v="1.5"/>
    <n v="27.76"/>
    <b v="0"/>
    <d v="2026-02-26T00:00:00"/>
    <x v="16"/>
    <s v="Thursday"/>
    <n v="0"/>
    <s v="Morning"/>
    <n v="1.5"/>
    <s v="Park Avenue"/>
    <n v="70"/>
    <x v="0"/>
    <n v="0"/>
    <n v="0"/>
    <x v="1"/>
    <n v="30.9"/>
    <n v="27.76"/>
    <s v="UPI"/>
    <x v="0"/>
    <s v="Rain"/>
  </r>
  <r>
    <s v="S00423"/>
    <x v="0"/>
    <x v="418"/>
    <d v="2026-02-27T14:01:00"/>
    <n v="2.9"/>
    <n v="39.15"/>
    <b v="0"/>
    <d v="2026-02-27T00:00:00"/>
    <x v="14"/>
    <s v="Friday"/>
    <n v="0"/>
    <s v="Morning"/>
    <n v="2.9"/>
    <s v="Park Avenue"/>
    <n v="70"/>
    <x v="0"/>
    <n v="0"/>
    <n v="0"/>
    <x v="0"/>
    <n v="28.4"/>
    <n v="39.15"/>
    <s v="UPI"/>
    <x v="0"/>
    <s v="No Rain"/>
  </r>
  <r>
    <s v="S00425"/>
    <x v="3"/>
    <x v="419"/>
    <d v="2026-03-01T19:34:00"/>
    <n v="1.6166666666666669"/>
    <n v="20.41"/>
    <b v="0"/>
    <d v="2026-03-01T00:00:00"/>
    <x v="2"/>
    <s v="Sunday"/>
    <n v="1"/>
    <s v="Evening"/>
    <n v="1.6166666666666669"/>
    <s v="Hospital Road"/>
    <n v="50"/>
    <x v="3"/>
    <n v="1"/>
    <n v="0"/>
    <x v="1"/>
    <n v="33.9"/>
    <n v="20.41"/>
    <s v="CASH"/>
    <x v="0"/>
    <s v="Rain"/>
  </r>
  <r>
    <s v="S00426"/>
    <x v="3"/>
    <x v="420"/>
    <d v="2026-03-03T00:25:00"/>
    <n v="2.9833333333333329"/>
    <n v="41.15"/>
    <b v="0"/>
    <d v="2026-03-02T00:00:00"/>
    <x v="13"/>
    <s v="Monday"/>
    <n v="0"/>
    <s v="Late Night"/>
    <n v="2.9833333333333329"/>
    <s v="Hospital Road"/>
    <n v="50"/>
    <x v="3"/>
    <n v="0"/>
    <n v="0"/>
    <x v="0"/>
    <n v="28.5"/>
    <n v="41.15"/>
    <s v="CASH"/>
    <x v="0"/>
    <s v="No Rain"/>
  </r>
  <r>
    <s v="S00427"/>
    <x v="4"/>
    <x v="421"/>
    <d v="2026-03-03T16:55:00"/>
    <n v="1.466666666666667"/>
    <n v="24.69"/>
    <b v="0"/>
    <d v="2026-03-03T00:00:00"/>
    <x v="15"/>
    <s v="Tuesday"/>
    <n v="0"/>
    <s v="Afternoon"/>
    <n v="1.466666666666667"/>
    <s v="City Centre"/>
    <n v="80"/>
    <x v="1"/>
    <n v="0"/>
    <n v="0"/>
    <x v="0"/>
    <n v="33.5"/>
    <n v="24.69"/>
    <s v="CASH"/>
    <x v="0"/>
    <s v="No Rain"/>
  </r>
  <r>
    <s v="S00428"/>
    <x v="2"/>
    <x v="422"/>
    <d v="2026-03-04T16:05:00"/>
    <n v="0.38333333333333341"/>
    <n v="10"/>
    <b v="0"/>
    <d v="2026-03-04T00:00:00"/>
    <x v="15"/>
    <s v="Wednesday"/>
    <n v="0"/>
    <s v="Afternoon"/>
    <n v="0.38333333333333341"/>
    <s v="Railway Station"/>
    <n v="100"/>
    <x v="2"/>
    <n v="0"/>
    <n v="0"/>
    <x v="0"/>
    <n v="26.7"/>
    <n v="10"/>
    <s v="UPI"/>
    <x v="0"/>
    <s v="No Rain"/>
  </r>
  <r>
    <s v="S00429"/>
    <x v="3"/>
    <x v="423"/>
    <d v="2026-03-05T20:47:00"/>
    <n v="8"/>
    <n v="135.61000000000001"/>
    <b v="0"/>
    <d v="2026-03-05T00:00:00"/>
    <x v="4"/>
    <s v="Thursday"/>
    <n v="0"/>
    <s v="Afternoon"/>
    <n v="8"/>
    <s v="Hospital Road"/>
    <n v="50"/>
    <x v="3"/>
    <n v="0"/>
    <n v="0"/>
    <x v="0"/>
    <n v="25.4"/>
    <n v="135.61000000000001"/>
    <s v="CARD"/>
    <x v="0"/>
    <s v="No Rain"/>
  </r>
  <r>
    <s v="S00430"/>
    <x v="2"/>
    <x v="424"/>
    <d v="2026-03-06T17:16:00"/>
    <n v="0.25"/>
    <n v="10"/>
    <b v="0"/>
    <d v="2026-03-06T00:00:00"/>
    <x v="2"/>
    <s v="Friday"/>
    <n v="0"/>
    <s v="Evening"/>
    <n v="0.25"/>
    <s v="Railway Station"/>
    <n v="100"/>
    <x v="2"/>
    <n v="0"/>
    <n v="0"/>
    <x v="1"/>
    <n v="27"/>
    <n v="10"/>
    <s v="CASH"/>
    <x v="0"/>
    <s v="Rain"/>
  </r>
  <r>
    <s v="S00431"/>
    <x v="1"/>
    <x v="425"/>
    <d v="2026-03-07T11:32:00"/>
    <n v="0.8833333333333333"/>
    <n v="10"/>
    <b v="0"/>
    <d v="2026-03-07T00:00:00"/>
    <x v="5"/>
    <s v="Saturday"/>
    <n v="1"/>
    <s v="Morning"/>
    <n v="0.8833333333333333"/>
    <s v="Market Street"/>
    <n v="60"/>
    <x v="1"/>
    <n v="1"/>
    <n v="0"/>
    <x v="0"/>
    <n v="22.7"/>
    <n v="10"/>
    <s v="UPI"/>
    <x v="0"/>
    <s v="No Rain"/>
  </r>
  <r>
    <s v="S00432"/>
    <x v="0"/>
    <x v="426"/>
    <d v="2026-03-08T17:24:00"/>
    <n v="2.2333333333333329"/>
    <n v="43.7"/>
    <b v="0"/>
    <d v="2026-03-08T00:00:00"/>
    <x v="15"/>
    <s v="Sunday"/>
    <n v="1"/>
    <s v="Afternoon"/>
    <n v="2.2333333333333329"/>
    <s v="Park Avenue"/>
    <n v="70"/>
    <x v="0"/>
    <n v="1"/>
    <n v="0"/>
    <x v="1"/>
    <n v="29.1"/>
    <n v="43.7"/>
    <s v="CARD"/>
    <x v="0"/>
    <s v="Rain"/>
  </r>
  <r>
    <s v="S00433"/>
    <x v="0"/>
    <x v="427"/>
    <d v="2026-03-10T00:53:00"/>
    <n v="3.1166666666666671"/>
    <n v="52.65"/>
    <b v="0"/>
    <d v="2026-03-09T00:00:00"/>
    <x v="13"/>
    <s v="Monday"/>
    <n v="0"/>
    <s v="Late Night"/>
    <n v="3.1166666666666671"/>
    <s v="Park Avenue"/>
    <n v="70"/>
    <x v="0"/>
    <n v="0"/>
    <n v="0"/>
    <x v="1"/>
    <n v="29.7"/>
    <n v="52.65"/>
    <s v="UPI"/>
    <x v="0"/>
    <s v="Rain"/>
  </r>
  <r>
    <s v="S00434"/>
    <x v="0"/>
    <x v="428"/>
    <d v="2026-03-10T22:54:00"/>
    <n v="0.68333333333333335"/>
    <n v="10"/>
    <b v="0"/>
    <d v="2026-03-10T00:00:00"/>
    <x v="9"/>
    <s v="Tuesday"/>
    <n v="0"/>
    <s v="Late Night"/>
    <n v="0.68333333333333335"/>
    <s v="Park Avenue"/>
    <n v="70"/>
    <x v="0"/>
    <n v="0"/>
    <n v="0"/>
    <x v="0"/>
    <n v="27"/>
    <n v="10"/>
    <s v="UPI"/>
    <x v="0"/>
    <s v="No Rain"/>
  </r>
  <r>
    <s v="S00435"/>
    <x v="2"/>
    <x v="429"/>
    <d v="2026-03-11T20:53:00"/>
    <n v="2.5333333333333332"/>
    <n v="38.89"/>
    <b v="0"/>
    <d v="2026-03-11T00:00:00"/>
    <x v="12"/>
    <s v="Wednesday"/>
    <n v="0"/>
    <s v="Evening"/>
    <n v="2.5333333333333332"/>
    <s v="Railway Station"/>
    <n v="100"/>
    <x v="2"/>
    <n v="0"/>
    <n v="0"/>
    <x v="0"/>
    <n v="31.2"/>
    <n v="38.89"/>
    <s v="CARD"/>
    <x v="0"/>
    <s v="No Rain"/>
  </r>
  <r>
    <s v="S00436"/>
    <x v="2"/>
    <x v="430"/>
    <d v="2026-03-12T20:41:00"/>
    <n v="1.8166666666666671"/>
    <n v="23.88"/>
    <b v="0"/>
    <d v="2026-03-12T00:00:00"/>
    <x v="12"/>
    <s v="Thursday"/>
    <n v="0"/>
    <s v="Evening"/>
    <n v="1.8166666666666671"/>
    <s v="Railway Station"/>
    <n v="100"/>
    <x v="2"/>
    <n v="0"/>
    <n v="0"/>
    <x v="0"/>
    <n v="28.4"/>
    <n v="23.88"/>
    <s v="CASH"/>
    <x v="0"/>
    <s v="No Rain"/>
  </r>
  <r>
    <s v="S00437"/>
    <x v="2"/>
    <x v="431"/>
    <d v="2026-03-13T08:07:00"/>
    <n v="1.2333333333333329"/>
    <n v="20.350000000000001"/>
    <b v="0"/>
    <d v="2026-03-13T00:00:00"/>
    <x v="6"/>
    <s v="Friday"/>
    <n v="0"/>
    <s v="Morning"/>
    <n v="1.2333333333333329"/>
    <s v="Railway Station"/>
    <n v="100"/>
    <x v="2"/>
    <n v="0"/>
    <n v="0"/>
    <x v="0"/>
    <n v="27.2"/>
    <n v="20.350000000000001"/>
    <s v="UPI"/>
    <x v="0"/>
    <s v="No Rain"/>
  </r>
  <r>
    <s v="S00438"/>
    <x v="1"/>
    <x v="432"/>
    <d v="2026-03-14T18:12:00"/>
    <n v="1.6833333333333329"/>
    <n v="21.75"/>
    <b v="0"/>
    <d v="2026-03-14T00:00:00"/>
    <x v="11"/>
    <s v="Saturday"/>
    <n v="1"/>
    <s v="Afternoon"/>
    <n v="1.6833333333333329"/>
    <s v="Market Street"/>
    <n v="60"/>
    <x v="1"/>
    <n v="1"/>
    <n v="0"/>
    <x v="1"/>
    <n v="30.7"/>
    <n v="21.75"/>
    <s v="UPI"/>
    <x v="0"/>
    <s v="Rain"/>
  </r>
  <r>
    <s v="S00439"/>
    <x v="3"/>
    <x v="433"/>
    <d v="2026-03-15T19:04:00"/>
    <n v="1.8"/>
    <n v="32.159999999999997"/>
    <b v="0"/>
    <d v="2026-03-15T00:00:00"/>
    <x v="2"/>
    <s v="Sunday"/>
    <n v="1"/>
    <s v="Evening"/>
    <n v="1.8"/>
    <s v="Hospital Road"/>
    <n v="50"/>
    <x v="3"/>
    <n v="1"/>
    <n v="0"/>
    <x v="0"/>
    <n v="23.9"/>
    <n v="32.159999999999997"/>
    <s v="CASH"/>
    <x v="0"/>
    <s v="No Rain"/>
  </r>
  <r>
    <s v="S00440"/>
    <x v="4"/>
    <x v="434"/>
    <d v="2026-03-16T20:58:00"/>
    <n v="1.1499999999999999"/>
    <n v="23.45"/>
    <b v="0"/>
    <d v="2026-03-16T00:00:00"/>
    <x v="8"/>
    <s v="Monday"/>
    <n v="0"/>
    <s v="Evening"/>
    <n v="1.1499999999999999"/>
    <s v="City Centre"/>
    <n v="80"/>
    <x v="1"/>
    <n v="0"/>
    <n v="0"/>
    <x v="0"/>
    <n v="23.7"/>
    <n v="23.45"/>
    <s v="UPI"/>
    <x v="0"/>
    <s v="No Rain"/>
  </r>
  <r>
    <s v="S00441"/>
    <x v="1"/>
    <x v="435"/>
    <d v="2026-03-18T00:06:00"/>
    <n v="3.9833333333333329"/>
    <n v="57.43"/>
    <b v="0"/>
    <d v="2026-03-17T00:00:00"/>
    <x v="3"/>
    <s v="Tuesday"/>
    <n v="0"/>
    <s v="Evening"/>
    <n v="3.9833333333333329"/>
    <s v="Market Street"/>
    <n v="60"/>
    <x v="1"/>
    <n v="0"/>
    <n v="0"/>
    <x v="0"/>
    <n v="32.6"/>
    <n v="57.43"/>
    <s v="CARD"/>
    <x v="0"/>
    <s v="No Rain"/>
  </r>
  <r>
    <s v="S00442"/>
    <x v="0"/>
    <x v="436"/>
    <d v="2026-03-18T20:54:00"/>
    <n v="1.75"/>
    <n v="24.2"/>
    <b v="0"/>
    <d v="2026-03-18T00:00:00"/>
    <x v="8"/>
    <s v="Wednesday"/>
    <n v="0"/>
    <s v="Evening"/>
    <n v="1.75"/>
    <s v="Park Avenue"/>
    <n v="70"/>
    <x v="0"/>
    <n v="0"/>
    <n v="0"/>
    <x v="1"/>
    <n v="29.2"/>
    <n v="24.2"/>
    <s v="UPI"/>
    <x v="0"/>
    <s v="Rain"/>
  </r>
  <r>
    <s v="S00443"/>
    <x v="4"/>
    <x v="437"/>
    <d v="2026-03-19T18:19:00"/>
    <n v="1.2"/>
    <n v="22.17"/>
    <b v="0"/>
    <d v="2026-03-19T00:00:00"/>
    <x v="2"/>
    <s v="Thursday"/>
    <n v="0"/>
    <s v="Evening"/>
    <n v="1.2"/>
    <s v="City Centre"/>
    <n v="80"/>
    <x v="1"/>
    <n v="0"/>
    <n v="0"/>
    <x v="0"/>
    <n v="31.7"/>
    <n v="22.17"/>
    <s v="UPI"/>
    <x v="0"/>
    <s v="No Rain"/>
  </r>
  <r>
    <s v="S00444"/>
    <x v="3"/>
    <x v="438"/>
    <d v="2026-03-20T13:54:00"/>
    <n v="4.8499999999999996"/>
    <n v="64.27"/>
    <b v="0"/>
    <d v="2026-03-20T00:00:00"/>
    <x v="16"/>
    <s v="Friday"/>
    <n v="0"/>
    <s v="Morning"/>
    <n v="4.8499999999999996"/>
    <s v="Hospital Road"/>
    <n v="50"/>
    <x v="3"/>
    <n v="0"/>
    <n v="0"/>
    <x v="0"/>
    <n v="29.3"/>
    <n v="64.27"/>
    <s v="CARD"/>
    <x v="0"/>
    <s v="No Rain"/>
  </r>
  <r>
    <s v="S00445"/>
    <x v="4"/>
    <x v="439"/>
    <d v="2026-03-21T12:18:00"/>
    <n v="1.533333333333333"/>
    <n v="27.43"/>
    <b v="0"/>
    <d v="2026-03-21T00:00:00"/>
    <x v="5"/>
    <s v="Saturday"/>
    <n v="1"/>
    <s v="Morning"/>
    <n v="1.533333333333333"/>
    <s v="City Centre"/>
    <n v="80"/>
    <x v="1"/>
    <n v="1"/>
    <n v="0"/>
    <x v="1"/>
    <n v="25.8"/>
    <n v="27.43"/>
    <s v="CASH"/>
    <x v="0"/>
    <s v="Rain"/>
  </r>
  <r>
    <s v="S00446"/>
    <x v="0"/>
    <x v="440"/>
    <m/>
    <m/>
    <n v="19.16"/>
    <b v="1"/>
    <d v="2026-03-22T00:00:00"/>
    <x v="8"/>
    <s v="Sunday"/>
    <n v="1"/>
    <s v="Evening"/>
    <m/>
    <s v="Park Avenue"/>
    <n v="70"/>
    <x v="0"/>
    <n v="1"/>
    <n v="0"/>
    <x v="1"/>
    <n v="34.5"/>
    <n v="19.16"/>
    <s v="CARD"/>
    <x v="0"/>
    <s v="Rain"/>
  </r>
  <r>
    <s v="S00447"/>
    <x v="4"/>
    <x v="441"/>
    <d v="2026-03-23T21:33:00"/>
    <n v="0.56666666666666665"/>
    <n v="10"/>
    <b v="0"/>
    <d v="2026-03-23T00:00:00"/>
    <x v="3"/>
    <s v="Monday"/>
    <n v="0"/>
    <s v="Evening"/>
    <n v="0.56666666666666665"/>
    <s v="City Centre"/>
    <n v="80"/>
    <x v="1"/>
    <n v="0"/>
    <n v="0"/>
    <x v="0"/>
    <n v="32.6"/>
    <n v="10"/>
    <s v="UPI"/>
    <x v="0"/>
    <s v="No Rain"/>
  </r>
  <r>
    <s v="S00448"/>
    <x v="0"/>
    <x v="442"/>
    <d v="2026-03-24T11:34:00"/>
    <n v="1.3166666666666671"/>
    <n v="27.92"/>
    <b v="0"/>
    <d v="2026-03-24T00:00:00"/>
    <x v="5"/>
    <s v="Tuesday"/>
    <n v="0"/>
    <s v="Morning"/>
    <n v="1.3166666666666671"/>
    <s v="Park Avenue"/>
    <n v="70"/>
    <x v="0"/>
    <n v="0"/>
    <n v="0"/>
    <x v="0"/>
    <n v="28.4"/>
    <n v="27.92"/>
    <s v="UPI"/>
    <x v="0"/>
    <s v="No Rain"/>
  </r>
  <r>
    <s v="S00449"/>
    <x v="1"/>
    <x v="443"/>
    <d v="2026-03-25T19:17:00"/>
    <n v="1.25"/>
    <n v="21.56"/>
    <b v="0"/>
    <d v="2026-03-25T00:00:00"/>
    <x v="12"/>
    <s v="Wednesday"/>
    <n v="0"/>
    <s v="Evening"/>
    <n v="1.25"/>
    <s v="Market Street"/>
    <n v="60"/>
    <x v="1"/>
    <n v="0"/>
    <n v="0"/>
    <x v="1"/>
    <n v="25.1"/>
    <n v="21.56"/>
    <s v="UPI"/>
    <x v="0"/>
    <s v="Rain"/>
  </r>
  <r>
    <s v="S00450"/>
    <x v="3"/>
    <x v="444"/>
    <d v="2026-03-26T22:05:00"/>
    <n v="5.8833333333333337"/>
    <n v="80.09"/>
    <b v="0"/>
    <d v="2026-03-26T00:00:00"/>
    <x v="11"/>
    <s v="Thursday"/>
    <n v="0"/>
    <s v="Afternoon"/>
    <n v="5.8833333333333337"/>
    <s v="Hospital Road"/>
    <n v="50"/>
    <x v="3"/>
    <n v="0"/>
    <n v="0"/>
    <x v="0"/>
    <n v="29.5"/>
    <n v="80.09"/>
    <s v="CASH"/>
    <x v="0"/>
    <s v="No Rain"/>
  </r>
  <r>
    <s v="S00451"/>
    <x v="3"/>
    <x v="445"/>
    <d v="2026-03-27T15:57:00"/>
    <n v="3.6833333333333331"/>
    <n v="60.84"/>
    <b v="0"/>
    <d v="2026-03-27T00:00:00"/>
    <x v="4"/>
    <s v="Friday"/>
    <n v="0"/>
    <s v="Afternoon"/>
    <n v="3.6833333333333331"/>
    <s v="Hospital Road"/>
    <n v="50"/>
    <x v="3"/>
    <n v="0"/>
    <n v="0"/>
    <x v="1"/>
    <n v="33.799999999999997"/>
    <n v="60.84"/>
    <s v="UPI"/>
    <x v="0"/>
    <s v="Rain"/>
  </r>
  <r>
    <s v="S00452"/>
    <x v="1"/>
    <x v="446"/>
    <d v="2026-03-28T18:34:00"/>
    <n v="1.75"/>
    <n v="16.73"/>
    <b v="0"/>
    <d v="2026-03-28T00:00:00"/>
    <x v="11"/>
    <s v="Saturday"/>
    <n v="1"/>
    <s v="Afternoon"/>
    <n v="1.75"/>
    <s v="Market Street"/>
    <n v="60"/>
    <x v="1"/>
    <n v="1"/>
    <n v="0"/>
    <x v="1"/>
    <n v="33.5"/>
    <n v="16.73"/>
    <s v="CASH"/>
    <x v="0"/>
    <s v="Rain"/>
  </r>
  <r>
    <s v="S00453"/>
    <x v="3"/>
    <x v="447"/>
    <d v="2026-03-29T18:10:00"/>
    <n v="0.5"/>
    <n v="11.68"/>
    <b v="0"/>
    <d v="2026-03-29T00:00:00"/>
    <x v="2"/>
    <s v="Sunday"/>
    <n v="1"/>
    <s v="Evening"/>
    <n v="0.5"/>
    <s v="Hospital Road"/>
    <n v="50"/>
    <x v="3"/>
    <n v="1"/>
    <n v="0"/>
    <x v="1"/>
    <n v="31"/>
    <n v="11.68"/>
    <s v="UPI"/>
    <x v="0"/>
    <s v="Rain"/>
  </r>
  <r>
    <s v="S00454"/>
    <x v="1"/>
    <x v="448"/>
    <d v="2026-03-30T19:58:00"/>
    <n v="0.78333333333333333"/>
    <n v="16.489999999999998"/>
    <b v="0"/>
    <d v="2026-03-30T00:00:00"/>
    <x v="8"/>
    <s v="Monday"/>
    <n v="0"/>
    <s v="Evening"/>
    <n v="0.78333333333333333"/>
    <s v="Market Street"/>
    <n v="60"/>
    <x v="1"/>
    <n v="0"/>
    <n v="0"/>
    <x v="1"/>
    <n v="33.9"/>
    <n v="16.489999999999998"/>
    <s v="UPI"/>
    <x v="0"/>
    <s v="Rain"/>
  </r>
  <r>
    <s v="S00455"/>
    <x v="2"/>
    <x v="449"/>
    <d v="2026-03-31T09:46:00"/>
    <n v="3.6833333333333331"/>
    <n v="55.69"/>
    <b v="0"/>
    <d v="2026-03-31T00:00:00"/>
    <x v="6"/>
    <s v="Tuesday"/>
    <n v="0"/>
    <s v="Morning"/>
    <n v="3.6833333333333331"/>
    <s v="Railway Station"/>
    <n v="100"/>
    <x v="2"/>
    <n v="0"/>
    <n v="0"/>
    <x v="0"/>
    <n v="32.700000000000003"/>
    <n v="55.69"/>
    <s v="UPI"/>
    <x v="0"/>
    <s v="No Rain"/>
  </r>
  <r>
    <s v="S00456"/>
    <x v="0"/>
    <x v="450"/>
    <d v="2026-04-01T07:26:00"/>
    <n v="0.73333333333333328"/>
    <n v="14.89"/>
    <b v="0"/>
    <d v="2026-04-01T00:00:00"/>
    <x v="6"/>
    <s v="Wednesday"/>
    <n v="0"/>
    <s v="Morning"/>
    <n v="0.73333333333333328"/>
    <s v="Park Avenue"/>
    <n v="70"/>
    <x v="0"/>
    <n v="0"/>
    <n v="0"/>
    <x v="1"/>
    <n v="29.6"/>
    <n v="14.89"/>
    <s v="UPI"/>
    <x v="0"/>
    <s v="Rain"/>
  </r>
  <r>
    <s v="S00457"/>
    <x v="3"/>
    <x v="451"/>
    <d v="2026-04-03T00:28:00"/>
    <n v="2.8"/>
    <n v="45.5"/>
    <b v="0"/>
    <d v="2026-04-02T00:00:00"/>
    <x v="13"/>
    <s v="Thursday"/>
    <n v="0"/>
    <s v="Late Night"/>
    <n v="2.8"/>
    <s v="Hospital Road"/>
    <n v="50"/>
    <x v="3"/>
    <n v="0"/>
    <n v="0"/>
    <x v="1"/>
    <n v="30.4"/>
    <n v="45.5"/>
    <s v="UPI"/>
    <x v="0"/>
    <s v="Rain"/>
  </r>
  <r>
    <s v="S00458"/>
    <x v="2"/>
    <x v="452"/>
    <d v="2026-04-03T18:01:00"/>
    <n v="2.7"/>
    <n v="42.67"/>
    <b v="0"/>
    <d v="2026-04-03T00:00:00"/>
    <x v="15"/>
    <s v="Friday"/>
    <n v="0"/>
    <s v="Afternoon"/>
    <n v="2.7"/>
    <s v="Railway Station"/>
    <n v="100"/>
    <x v="2"/>
    <n v="0"/>
    <n v="0"/>
    <x v="0"/>
    <n v="26.8"/>
    <n v="42.67"/>
    <s v="UPI"/>
    <x v="0"/>
    <s v="No Rain"/>
  </r>
  <r>
    <s v="S00459"/>
    <x v="1"/>
    <x v="453"/>
    <d v="2026-04-04T17:10:00"/>
    <n v="2.3666666666666671"/>
    <n v="42.28"/>
    <b v="0"/>
    <d v="2026-04-04T00:00:00"/>
    <x v="7"/>
    <s v="Saturday"/>
    <n v="1"/>
    <s v="Afternoon"/>
    <n v="2.3666666666666671"/>
    <s v="Market Street"/>
    <n v="60"/>
    <x v="1"/>
    <n v="1"/>
    <n v="0"/>
    <x v="1"/>
    <n v="32.1"/>
    <n v="42.28"/>
    <s v="CARD"/>
    <x v="0"/>
    <s v="Rain"/>
  </r>
  <r>
    <s v="S00460"/>
    <x v="3"/>
    <x v="454"/>
    <d v="2026-04-05T13:42:00"/>
    <n v="3.5166666666666671"/>
    <n v="46.08"/>
    <b v="0"/>
    <d v="2026-04-05T00:00:00"/>
    <x v="5"/>
    <s v="Sunday"/>
    <n v="1"/>
    <s v="Morning"/>
    <n v="3.5166666666666671"/>
    <s v="Hospital Road"/>
    <n v="50"/>
    <x v="3"/>
    <n v="1"/>
    <n v="1"/>
    <x v="0"/>
    <n v="24.5"/>
    <n v="46.08"/>
    <s v="UPI"/>
    <x v="1"/>
    <s v="No Rain"/>
  </r>
  <r>
    <s v="S00461"/>
    <x v="3"/>
    <x v="455"/>
    <d v="2026-04-06T17:52:00"/>
    <n v="1.6"/>
    <n v="23.37"/>
    <b v="0"/>
    <d v="2026-04-06T00:00:00"/>
    <x v="11"/>
    <s v="Monday"/>
    <n v="0"/>
    <s v="Afternoon"/>
    <n v="1.6"/>
    <s v="Hospital Road"/>
    <n v="50"/>
    <x v="3"/>
    <n v="0"/>
    <n v="0"/>
    <x v="1"/>
    <n v="30.1"/>
    <n v="23.37"/>
    <s v="UPI"/>
    <x v="0"/>
    <s v="Rain"/>
  </r>
  <r>
    <s v="S00462"/>
    <x v="1"/>
    <x v="456"/>
    <d v="2026-04-07T16:54:00"/>
    <n v="0.25"/>
    <n v="10"/>
    <b v="0"/>
    <d v="2026-04-07T00:00:00"/>
    <x v="11"/>
    <s v="Tuesday"/>
    <n v="0"/>
    <s v="Afternoon"/>
    <n v="0.25"/>
    <s v="Market Street"/>
    <n v="60"/>
    <x v="1"/>
    <n v="0"/>
    <n v="0"/>
    <x v="1"/>
    <n v="25.3"/>
    <n v="10"/>
    <s v="CASH"/>
    <x v="0"/>
    <s v="Rain"/>
  </r>
  <r>
    <s v="S00463"/>
    <x v="4"/>
    <x v="457"/>
    <d v="2026-04-08T10:20:00"/>
    <n v="1.8833333333333331"/>
    <n v="25.17"/>
    <b v="0"/>
    <d v="2026-04-08T00:00:00"/>
    <x v="10"/>
    <s v="Wednesday"/>
    <n v="0"/>
    <s v="Morning"/>
    <n v="1.8833333333333331"/>
    <s v="City Centre"/>
    <n v="80"/>
    <x v="1"/>
    <n v="0"/>
    <n v="0"/>
    <x v="0"/>
    <n v="29.2"/>
    <n v="25.17"/>
    <s v="CASH"/>
    <x v="0"/>
    <s v="No Rain"/>
  </r>
  <r>
    <s v="S00464"/>
    <x v="0"/>
    <x v="458"/>
    <d v="2026-04-09T09:03:00"/>
    <n v="1.283333333333333"/>
    <n v="25.04"/>
    <b v="0"/>
    <d v="2026-04-09T00:00:00"/>
    <x v="1"/>
    <s v="Thursday"/>
    <n v="0"/>
    <s v="Morning"/>
    <n v="1.283333333333333"/>
    <s v="Park Avenue"/>
    <n v="70"/>
    <x v="0"/>
    <n v="0"/>
    <n v="0"/>
    <x v="0"/>
    <n v="34.6"/>
    <n v="25.04"/>
    <s v="UPI"/>
    <x v="0"/>
    <s v="No Rain"/>
  </r>
  <r>
    <s v="S00465"/>
    <x v="3"/>
    <x v="459"/>
    <d v="2026-04-10T11:19:00"/>
    <n v="0.25"/>
    <n v="10"/>
    <b v="0"/>
    <d v="2026-04-10T00:00:00"/>
    <x v="14"/>
    <s v="Friday"/>
    <n v="0"/>
    <s v="Morning"/>
    <n v="0.25"/>
    <s v="Hospital Road"/>
    <n v="50"/>
    <x v="3"/>
    <n v="0"/>
    <n v="0"/>
    <x v="1"/>
    <n v="29"/>
    <n v="10"/>
    <s v="UPI"/>
    <x v="0"/>
    <s v="Rain"/>
  </r>
  <r>
    <s v="S00466"/>
    <x v="3"/>
    <x v="460"/>
    <d v="2026-04-11T10:33:00"/>
    <n v="0.43333333333333329"/>
    <n v="10"/>
    <b v="0"/>
    <d v="2026-04-11T00:00:00"/>
    <x v="5"/>
    <s v="Saturday"/>
    <n v="1"/>
    <s v="Morning"/>
    <n v="0.43333333333333329"/>
    <s v="Hospital Road"/>
    <n v="50"/>
    <x v="3"/>
    <n v="1"/>
    <n v="0"/>
    <x v="0"/>
    <n v="37.4"/>
    <n v="10"/>
    <s v="CASH"/>
    <x v="0"/>
    <s v="No Rain"/>
  </r>
  <r>
    <s v="S00467"/>
    <x v="4"/>
    <x v="461"/>
    <d v="2026-04-12T13:13:00"/>
    <n v="4.666666666666667"/>
    <n v="67.069999999999993"/>
    <b v="0"/>
    <d v="2026-04-12T00:00:00"/>
    <x v="10"/>
    <s v="Sunday"/>
    <n v="1"/>
    <s v="Morning"/>
    <n v="4.666666666666667"/>
    <s v="City Centre"/>
    <n v="80"/>
    <x v="1"/>
    <n v="1"/>
    <n v="1"/>
    <x v="1"/>
    <n v="35.5"/>
    <n v="67.069999999999993"/>
    <s v="UPI"/>
    <x v="1"/>
    <s v="Rain"/>
  </r>
  <r>
    <s v="S00468"/>
    <x v="3"/>
    <x v="462"/>
    <d v="2026-04-13T16:10:00"/>
    <n v="0.65"/>
    <n v="14.07"/>
    <b v="0"/>
    <d v="2026-04-13T00:00:00"/>
    <x v="15"/>
    <s v="Monday"/>
    <n v="0"/>
    <s v="Afternoon"/>
    <n v="0.65"/>
    <s v="Hospital Road"/>
    <n v="50"/>
    <x v="3"/>
    <n v="0"/>
    <n v="0"/>
    <x v="0"/>
    <n v="31.4"/>
    <n v="14.07"/>
    <s v="UPI"/>
    <x v="0"/>
    <s v="No Rain"/>
  </r>
  <r>
    <s v="S00470"/>
    <x v="0"/>
    <x v="463"/>
    <d v="2026-04-15T17:09:00"/>
    <n v="3.0666666666666669"/>
    <n v="53.03"/>
    <b v="0"/>
    <d v="2026-04-15T00:00:00"/>
    <x v="7"/>
    <s v="Wednesday"/>
    <n v="0"/>
    <s v="Afternoon"/>
    <n v="3.0666666666666669"/>
    <s v="Park Avenue"/>
    <n v="70"/>
    <x v="0"/>
    <n v="0"/>
    <n v="0"/>
    <x v="1"/>
    <n v="27.3"/>
    <n v="53.03"/>
    <s v="CASH"/>
    <x v="0"/>
    <s v="Rain"/>
  </r>
  <r>
    <s v="S00471"/>
    <x v="4"/>
    <x v="464"/>
    <d v="2026-04-16T22:27:00"/>
    <n v="2.8"/>
    <n v="39.53"/>
    <b v="0"/>
    <d v="2026-04-16T00:00:00"/>
    <x v="8"/>
    <s v="Thursday"/>
    <n v="0"/>
    <s v="Evening"/>
    <n v="2.8"/>
    <s v="City Centre"/>
    <n v="80"/>
    <x v="1"/>
    <n v="0"/>
    <n v="0"/>
    <x v="0"/>
    <n v="31.5"/>
    <n v="39.53"/>
    <s v="CARD"/>
    <x v="0"/>
    <s v="No Rain"/>
  </r>
  <r>
    <s v="S00472"/>
    <x v="3"/>
    <x v="465"/>
    <d v="2026-04-17T19:16:00"/>
    <n v="1.1166666666666669"/>
    <n v="29.19"/>
    <b v="0"/>
    <d v="2026-04-17T00:00:00"/>
    <x v="12"/>
    <s v="Friday"/>
    <n v="0"/>
    <s v="Evening"/>
    <n v="1.1166666666666669"/>
    <s v="Hospital Road"/>
    <n v="50"/>
    <x v="3"/>
    <n v="0"/>
    <n v="0"/>
    <x v="1"/>
    <n v="25.4"/>
    <n v="29.19"/>
    <s v="UPI"/>
    <x v="0"/>
    <s v="Rain"/>
  </r>
  <r>
    <s v="S00473"/>
    <x v="3"/>
    <x v="466"/>
    <d v="2026-04-18T15:50:00"/>
    <n v="1.416666666666667"/>
    <n v="30.93"/>
    <b v="0"/>
    <d v="2026-04-18T00:00:00"/>
    <x v="7"/>
    <s v="Saturday"/>
    <n v="1"/>
    <s v="Afternoon"/>
    <n v="1.416666666666667"/>
    <s v="Hospital Road"/>
    <n v="50"/>
    <x v="3"/>
    <n v="1"/>
    <n v="0"/>
    <x v="0"/>
    <n v="26.6"/>
    <n v="30.93"/>
    <s v="UPI"/>
    <x v="0"/>
    <s v="No Rain"/>
  </r>
  <r>
    <s v="S00475"/>
    <x v="0"/>
    <x v="467"/>
    <d v="2026-04-20T19:02:00"/>
    <n v="2.833333333333333"/>
    <n v="45.32"/>
    <b v="0"/>
    <d v="2026-04-20T00:00:00"/>
    <x v="11"/>
    <s v="Monday"/>
    <n v="0"/>
    <s v="Afternoon"/>
    <n v="2.833333333333333"/>
    <s v="Park Avenue"/>
    <n v="70"/>
    <x v="0"/>
    <n v="0"/>
    <n v="0"/>
    <x v="0"/>
    <n v="29.2"/>
    <n v="45.32"/>
    <s v="CARD"/>
    <x v="0"/>
    <s v="No Rain"/>
  </r>
  <r>
    <s v="S00476"/>
    <x v="0"/>
    <x v="468"/>
    <d v="2026-04-21T10:12:00"/>
    <n v="2.4"/>
    <n v="39.799999999999997"/>
    <b v="0"/>
    <d v="2026-04-21T00:00:00"/>
    <x v="1"/>
    <s v="Tuesday"/>
    <n v="0"/>
    <s v="Morning"/>
    <n v="2.4"/>
    <s v="Park Avenue"/>
    <n v="70"/>
    <x v="0"/>
    <n v="0"/>
    <n v="0"/>
    <x v="0"/>
    <n v="30.2"/>
    <n v="39.799999999999997"/>
    <s v="UPI"/>
    <x v="0"/>
    <s v="No Rain"/>
  </r>
  <r>
    <s v="S00477"/>
    <x v="0"/>
    <x v="469"/>
    <d v="2026-04-22T21:30:00"/>
    <n v="2.8"/>
    <n v="42.69"/>
    <b v="0"/>
    <d v="2026-04-22T00:00:00"/>
    <x v="12"/>
    <s v="Wednesday"/>
    <n v="0"/>
    <s v="Evening"/>
    <n v="2.8"/>
    <s v="Park Avenue"/>
    <n v="70"/>
    <x v="0"/>
    <n v="0"/>
    <n v="0"/>
    <x v="0"/>
    <n v="31.5"/>
    <n v="42.69"/>
    <s v="UPI"/>
    <x v="0"/>
    <s v="No Rain"/>
  </r>
  <r>
    <s v="S00478"/>
    <x v="2"/>
    <x v="470"/>
    <d v="2026-04-23T20:55:00"/>
    <n v="2.6333333333333329"/>
    <n v="30.45"/>
    <b v="0"/>
    <d v="2026-04-23T00:00:00"/>
    <x v="12"/>
    <s v="Thursday"/>
    <n v="0"/>
    <s v="Evening"/>
    <n v="2.6333333333333329"/>
    <s v="Railway Station"/>
    <n v="100"/>
    <x v="2"/>
    <n v="0"/>
    <n v="0"/>
    <x v="1"/>
    <n v="28"/>
    <n v="30.45"/>
    <s v="CARD"/>
    <x v="0"/>
    <s v="Rain"/>
  </r>
  <r>
    <s v="S00480"/>
    <x v="2"/>
    <x v="471"/>
    <m/>
    <m/>
    <n v="52.72"/>
    <b v="1"/>
    <d v="2026-04-25T00:00:00"/>
    <x v="13"/>
    <s v="Saturday"/>
    <n v="1"/>
    <s v="Late Night"/>
    <m/>
    <s v="Railway Station"/>
    <n v="100"/>
    <x v="2"/>
    <n v="1"/>
    <n v="0"/>
    <x v="0"/>
    <n v="31.4"/>
    <n v="52.72"/>
    <s v="CASH"/>
    <x v="0"/>
    <s v="No Rain"/>
  </r>
  <r>
    <s v="S00481"/>
    <x v="4"/>
    <x v="472"/>
    <d v="2026-04-26T11:54:00"/>
    <n v="0.83333333333333337"/>
    <n v="10"/>
    <b v="0"/>
    <d v="2026-04-26T00:00:00"/>
    <x v="14"/>
    <s v="Sunday"/>
    <n v="1"/>
    <s v="Morning"/>
    <n v="0.83333333333333337"/>
    <s v="City Centre"/>
    <n v="80"/>
    <x v="1"/>
    <n v="1"/>
    <n v="1"/>
    <x v="0"/>
    <n v="20.9"/>
    <n v="10"/>
    <s v="UPI"/>
    <x v="1"/>
    <s v="No Rain"/>
  </r>
  <r>
    <s v="S00482"/>
    <x v="0"/>
    <x v="473"/>
    <d v="2026-04-27T23:37:00"/>
    <n v="3.2666666666666671"/>
    <n v="47.72"/>
    <b v="0"/>
    <d v="2026-04-27T00:00:00"/>
    <x v="3"/>
    <s v="Monday"/>
    <n v="0"/>
    <s v="Evening"/>
    <n v="3.2666666666666671"/>
    <s v="Park Avenue"/>
    <n v="70"/>
    <x v="0"/>
    <n v="0"/>
    <n v="0"/>
    <x v="0"/>
    <n v="30.5"/>
    <n v="47.72"/>
    <s v="CARD"/>
    <x v="0"/>
    <s v="No Rain"/>
  </r>
  <r>
    <s v="S00483"/>
    <x v="3"/>
    <x v="474"/>
    <d v="2026-04-28T13:21:00"/>
    <n v="1.5"/>
    <n v="26.16"/>
    <b v="0"/>
    <d v="2026-04-28T00:00:00"/>
    <x v="14"/>
    <s v="Tuesday"/>
    <n v="0"/>
    <s v="Morning"/>
    <n v="1.5"/>
    <s v="Hospital Road"/>
    <n v="50"/>
    <x v="3"/>
    <n v="0"/>
    <n v="0"/>
    <x v="0"/>
    <n v="25.9"/>
    <n v="26.16"/>
    <s v="UPI"/>
    <x v="0"/>
    <s v="No Rain"/>
  </r>
  <r>
    <s v="S00484"/>
    <x v="2"/>
    <x v="475"/>
    <d v="2026-04-29T09:44:00"/>
    <n v="0.25"/>
    <n v="10"/>
    <b v="0"/>
    <d v="2026-04-29T00:00:00"/>
    <x v="16"/>
    <s v="Wednesday"/>
    <n v="0"/>
    <s v="Morning"/>
    <n v="0.25"/>
    <s v="Railway Station"/>
    <n v="100"/>
    <x v="2"/>
    <n v="0"/>
    <n v="0"/>
    <x v="0"/>
    <n v="25.9"/>
    <n v="10"/>
    <s v="CARD"/>
    <x v="0"/>
    <s v="No Rain"/>
  </r>
  <r>
    <s v="S00485"/>
    <x v="0"/>
    <x v="476"/>
    <d v="2026-04-30T23:14:00"/>
    <n v="2.0499999999999998"/>
    <n v="37.75"/>
    <b v="0"/>
    <d v="2026-04-30T00:00:00"/>
    <x v="13"/>
    <s v="Thursday"/>
    <n v="0"/>
    <s v="Late Night"/>
    <n v="2.0499999999999998"/>
    <s v="Park Avenue"/>
    <n v="70"/>
    <x v="0"/>
    <n v="0"/>
    <n v="0"/>
    <x v="1"/>
    <n v="31.8"/>
    <n v="37.75"/>
    <s v="CASH"/>
    <x v="0"/>
    <s v="Rain"/>
  </r>
  <r>
    <s v="S00486"/>
    <x v="2"/>
    <x v="477"/>
    <d v="2026-05-01T21:16:00"/>
    <n v="3.05"/>
    <n v="50.97"/>
    <b v="0"/>
    <d v="2026-05-01T00:00:00"/>
    <x v="12"/>
    <s v="Friday"/>
    <n v="0"/>
    <s v="Evening"/>
    <n v="3.05"/>
    <s v="Railway Station"/>
    <n v="100"/>
    <x v="2"/>
    <n v="0"/>
    <n v="0"/>
    <x v="1"/>
    <n v="24.5"/>
    <n v="50.97"/>
    <s v="CASH"/>
    <x v="0"/>
    <s v="Rain"/>
  </r>
  <r>
    <s v="S00487"/>
    <x v="1"/>
    <x v="478"/>
    <d v="2026-05-02T15:42:00"/>
    <n v="0.48333333333333328"/>
    <n v="10"/>
    <b v="0"/>
    <d v="2026-05-02T00:00:00"/>
    <x v="15"/>
    <s v="Saturday"/>
    <n v="1"/>
    <s v="Afternoon"/>
    <n v="0.48333333333333328"/>
    <s v="Market Street"/>
    <n v="60"/>
    <x v="1"/>
    <n v="1"/>
    <n v="0"/>
    <x v="0"/>
    <n v="25.4"/>
    <n v="10"/>
    <s v="CARD"/>
    <x v="0"/>
    <s v="No Rain"/>
  </r>
  <r>
    <s v="S00488"/>
    <x v="4"/>
    <x v="479"/>
    <d v="2026-05-03T17:35:00"/>
    <n v="1.2"/>
    <n v="23.06"/>
    <b v="0"/>
    <d v="2026-05-03T00:00:00"/>
    <x v="11"/>
    <s v="Sunday"/>
    <n v="1"/>
    <s v="Afternoon"/>
    <n v="1.2"/>
    <s v="City Centre"/>
    <n v="80"/>
    <x v="1"/>
    <n v="1"/>
    <n v="0"/>
    <x v="0"/>
    <n v="25.7"/>
    <n v="23.06"/>
    <s v="UPI"/>
    <x v="0"/>
    <s v="No Rain"/>
  </r>
  <r>
    <s v="S00489"/>
    <x v="3"/>
    <x v="480"/>
    <d v="2026-05-04T21:10:00"/>
    <n v="2.0166666666666671"/>
    <n v="42.06"/>
    <b v="0"/>
    <d v="2026-05-04T00:00:00"/>
    <x v="8"/>
    <s v="Monday"/>
    <n v="0"/>
    <s v="Evening"/>
    <n v="2.0166666666666671"/>
    <s v="Hospital Road"/>
    <n v="50"/>
    <x v="3"/>
    <n v="0"/>
    <n v="0"/>
    <x v="0"/>
    <n v="30.5"/>
    <n v="42.06"/>
    <s v="CASH"/>
    <x v="0"/>
    <s v="No Rain"/>
  </r>
  <r>
    <s v="S00490"/>
    <x v="1"/>
    <x v="481"/>
    <d v="2026-05-05T20:21:00"/>
    <n v="0.6333333333333333"/>
    <n v="10"/>
    <b v="0"/>
    <d v="2026-05-05T00:00:00"/>
    <x v="8"/>
    <s v="Tuesday"/>
    <n v="0"/>
    <s v="Evening"/>
    <n v="0.6333333333333333"/>
    <s v="Market Street"/>
    <n v="60"/>
    <x v="1"/>
    <n v="0"/>
    <n v="0"/>
    <x v="0"/>
    <n v="29.9"/>
    <n v="10"/>
    <s v="CARD"/>
    <x v="0"/>
    <s v="No Rain"/>
  </r>
  <r>
    <s v="S00491"/>
    <x v="4"/>
    <x v="482"/>
    <d v="2026-05-06T10:45:00"/>
    <n v="1.916666666666667"/>
    <n v="21.38"/>
    <b v="0"/>
    <d v="2026-05-06T00:00:00"/>
    <x v="10"/>
    <s v="Wednesday"/>
    <n v="0"/>
    <s v="Morning"/>
    <n v="1.916666666666667"/>
    <s v="City Centre"/>
    <n v="80"/>
    <x v="1"/>
    <n v="0"/>
    <n v="0"/>
    <x v="1"/>
    <n v="28.2"/>
    <n v="21.38"/>
    <s v="CARD"/>
    <x v="0"/>
    <s v="Rain"/>
  </r>
  <r>
    <s v="S00492"/>
    <x v="4"/>
    <x v="483"/>
    <d v="2026-05-07T09:10:00"/>
    <n v="1.8"/>
    <n v="21.81"/>
    <b v="0"/>
    <d v="2026-05-07T00:00:00"/>
    <x v="1"/>
    <s v="Thursday"/>
    <n v="0"/>
    <s v="Morning"/>
    <n v="1.8"/>
    <s v="City Centre"/>
    <n v="80"/>
    <x v="1"/>
    <n v="0"/>
    <n v="0"/>
    <x v="0"/>
    <n v="36.4"/>
    <n v="21.81"/>
    <s v="CASH"/>
    <x v="0"/>
    <s v="No Rain"/>
  </r>
  <r>
    <s v="S00493"/>
    <x v="1"/>
    <x v="484"/>
    <d v="2026-05-08T23:12:00"/>
    <n v="1.2333333333333329"/>
    <n v="36.57"/>
    <b v="0"/>
    <d v="2026-05-08T00:00:00"/>
    <x v="13"/>
    <s v="Friday"/>
    <n v="0"/>
    <s v="Late Night"/>
    <n v="1.2333333333333329"/>
    <s v="Market Street"/>
    <n v="60"/>
    <x v="1"/>
    <n v="0"/>
    <n v="0"/>
    <x v="0"/>
    <n v="28.9"/>
    <n v="36.57"/>
    <s v="CASH"/>
    <x v="0"/>
    <s v="No Rain"/>
  </r>
  <r>
    <s v="S00494"/>
    <x v="1"/>
    <x v="485"/>
    <d v="2026-05-09T18:46:00"/>
    <n v="5.0166666666666666"/>
    <n v="84.14"/>
    <b v="0"/>
    <d v="2026-05-09T00:00:00"/>
    <x v="0"/>
    <s v="Saturday"/>
    <n v="1"/>
    <s v="Afternoon"/>
    <n v="5.0166666666666666"/>
    <s v="Market Street"/>
    <n v="60"/>
    <x v="1"/>
    <n v="1"/>
    <n v="0"/>
    <x v="1"/>
    <n v="31.8"/>
    <n v="84.14"/>
    <s v="CARD"/>
    <x v="0"/>
    <s v="Rain"/>
  </r>
  <r>
    <s v="S00495"/>
    <x v="3"/>
    <x v="486"/>
    <d v="2026-05-10T08:01:00"/>
    <n v="1.6333333333333331"/>
    <n v="19.14"/>
    <b v="0"/>
    <d v="2026-05-10T00:00:00"/>
    <x v="6"/>
    <s v="Sunday"/>
    <n v="1"/>
    <s v="Morning"/>
    <n v="1.6333333333333331"/>
    <s v="Hospital Road"/>
    <n v="50"/>
    <x v="3"/>
    <n v="1"/>
    <n v="0"/>
    <x v="0"/>
    <n v="30.3"/>
    <n v="19.14"/>
    <s v="UPI"/>
    <x v="0"/>
    <s v="No Rain"/>
  </r>
  <r>
    <s v="S00496"/>
    <x v="4"/>
    <x v="487"/>
    <d v="2026-05-11T22:32:00"/>
    <n v="1.5666666666666671"/>
    <n v="27.51"/>
    <b v="0"/>
    <d v="2026-05-11T00:00:00"/>
    <x v="3"/>
    <s v="Monday"/>
    <n v="0"/>
    <s v="Evening"/>
    <n v="1.5666666666666671"/>
    <s v="City Centre"/>
    <n v="80"/>
    <x v="1"/>
    <n v="0"/>
    <n v="0"/>
    <x v="1"/>
    <n v="31.1"/>
    <n v="27.51"/>
    <s v="CARD"/>
    <x v="0"/>
    <s v="Rain"/>
  </r>
  <r>
    <s v="S00497"/>
    <x v="4"/>
    <x v="488"/>
    <d v="2026-05-12T20:03:00"/>
    <n v="1.3166666666666671"/>
    <n v="18.239999999999998"/>
    <b v="0"/>
    <d v="2026-05-12T00:00:00"/>
    <x v="12"/>
    <s v="Tuesday"/>
    <n v="0"/>
    <s v="Evening"/>
    <n v="1.3166666666666671"/>
    <s v="City Centre"/>
    <n v="80"/>
    <x v="1"/>
    <n v="0"/>
    <n v="0"/>
    <x v="0"/>
    <n v="32.9"/>
    <n v="18.239999999999998"/>
    <s v="UPI"/>
    <x v="0"/>
    <s v="No Rain"/>
  </r>
  <r>
    <s v="S00498"/>
    <x v="0"/>
    <x v="489"/>
    <d v="2026-05-13T22:38:00"/>
    <n v="5.166666666666667"/>
    <n v="79.959999999999994"/>
    <b v="0"/>
    <d v="2026-05-13T00:00:00"/>
    <x v="2"/>
    <s v="Wednesday"/>
    <n v="0"/>
    <s v="Evening"/>
    <n v="5.166666666666667"/>
    <s v="Park Avenue"/>
    <n v="70"/>
    <x v="0"/>
    <n v="0"/>
    <n v="0"/>
    <x v="0"/>
    <n v="28.9"/>
    <n v="79.959999999999994"/>
    <s v="UPI"/>
    <x v="0"/>
    <s v="No Rain"/>
  </r>
  <r>
    <s v="S00499"/>
    <x v="3"/>
    <x v="490"/>
    <d v="2026-05-14T11:15:00"/>
    <n v="2"/>
    <n v="36.39"/>
    <b v="0"/>
    <d v="2026-05-14T00:00:00"/>
    <x v="16"/>
    <s v="Thursday"/>
    <n v="0"/>
    <s v="Morning"/>
    <n v="2"/>
    <s v="Hospital Road"/>
    <n v="50"/>
    <x v="3"/>
    <n v="0"/>
    <n v="0"/>
    <x v="0"/>
    <n v="33.5"/>
    <n v="36.39"/>
    <s v="CARD"/>
    <x v="0"/>
    <s v="No Rain"/>
  </r>
  <r>
    <s v="S00500"/>
    <x v="2"/>
    <x v="491"/>
    <d v="2026-05-15T15:03:00"/>
    <n v="1.6166666666666669"/>
    <n v="29.49"/>
    <b v="0"/>
    <d v="2026-05-15T00:00:00"/>
    <x v="0"/>
    <s v="Friday"/>
    <n v="0"/>
    <s v="Afternoon"/>
    <n v="1.6166666666666669"/>
    <s v="Railway Station"/>
    <n v="100"/>
    <x v="2"/>
    <n v="0"/>
    <n v="0"/>
    <x v="0"/>
    <n v="29.8"/>
    <n v="29.49"/>
    <s v="CARD"/>
    <x v="0"/>
    <s v="No Rai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B900FC-7753-4B99-9F12-6D448329D295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9" firstHeaderRow="1" firstDataRow="1" firstDataCol="1"/>
  <pivotFields count="27">
    <pivotField dataField="1" showAll="0"/>
    <pivotField axis="axisRow" showAll="0">
      <items count="6">
        <item x="4"/>
        <item x="1"/>
        <item x="2"/>
        <item x="3"/>
        <item x="0"/>
        <item t="default"/>
      </items>
    </pivotField>
    <pivotField numFmtId="165" showAll="0">
      <items count="4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3"/>
        <item x="34"/>
        <item x="35"/>
        <item x="36"/>
        <item x="37"/>
        <item x="38"/>
        <item x="39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40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55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93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32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t="default"/>
      </items>
    </pivotField>
    <pivotField showAll="0"/>
    <pivotField showAll="0"/>
    <pivotField showAll="0"/>
    <pivotField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session_id" fld="0" subtotal="count" baseField="0" baseItem="0"/>
  </dataFields>
  <chartFormats count="2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E47ED6-1E8B-4FB7-B240-DB204163A6AA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21" firstHeaderRow="1" firstDataRow="1" firstDataCol="1"/>
  <pivotFields count="27">
    <pivotField dataField="1" showAll="0"/>
    <pivotField showAll="0"/>
    <pivotField numFmtId="165" showAll="0">
      <items count="4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3"/>
        <item x="34"/>
        <item x="35"/>
        <item x="36"/>
        <item x="37"/>
        <item x="38"/>
        <item x="39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40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55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93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32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t="default"/>
      </items>
    </pivotField>
    <pivotField showAll="0"/>
    <pivotField showAll="0"/>
    <pivotField showAll="0"/>
    <pivotField showAll="0"/>
    <pivotField numFmtId="165" showAll="0"/>
    <pivotField axis="axisRow" showAll="0">
      <items count="18">
        <item x="6"/>
        <item x="1"/>
        <item x="10"/>
        <item x="16"/>
        <item x="5"/>
        <item x="14"/>
        <item x="4"/>
        <item x="0"/>
        <item x="7"/>
        <item x="15"/>
        <item x="11"/>
        <item x="2"/>
        <item x="12"/>
        <item x="8"/>
        <item x="3"/>
        <item x="13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8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Count of session_id" fld="0" subtotal="count" baseField="0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34363D-AECF-467A-BCC6-CD684BBC7DF8}" name="PivotTable4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8" firstHeaderRow="1" firstDataRow="1" firstDataCol="1"/>
  <pivotFields count="27">
    <pivotField showAll="0"/>
    <pivotField showAll="0"/>
    <pivotField numFmtId="165" showAll="0">
      <items count="4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3"/>
        <item x="34"/>
        <item x="35"/>
        <item x="36"/>
        <item x="37"/>
        <item x="38"/>
        <item x="39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40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55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93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32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t="default"/>
      </items>
    </pivotField>
    <pivotField showAll="0"/>
    <pivotField dataField="1" showAll="0"/>
    <pivotField showAll="0"/>
    <pivotField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3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1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duration" fld="4" subtotal="average" baseField="15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9A2126-9528-45A3-BD6C-2602129DD27A}" name="PivotTable5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6" firstHeaderRow="1" firstDataRow="1" firstDataCol="1"/>
  <pivotFields count="27">
    <pivotField dataField="1" showAll="0"/>
    <pivotField showAll="0"/>
    <pivotField numFmtId="165" showAll="0">
      <items count="4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3"/>
        <item x="34"/>
        <item x="35"/>
        <item x="36"/>
        <item x="37"/>
        <item x="38"/>
        <item x="39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40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55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93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32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t="default"/>
      </items>
    </pivotField>
    <pivotField showAll="0"/>
    <pivotField showAll="0"/>
    <pivotField showAll="0"/>
    <pivotField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22"/>
  </rowFields>
  <rowItems count="3">
    <i>
      <x/>
    </i>
    <i>
      <x v="1"/>
    </i>
    <i t="grand">
      <x/>
    </i>
  </rowItems>
  <colItems count="1">
    <i/>
  </colItems>
  <dataFields count="1">
    <dataField name="Count of session_id" fld="0" subtotal="count" baseField="0" baseItem="0"/>
  </dataFields>
  <chartFormats count="2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AED7ED-32AA-4B61-A014-A39F04C59FA4}" name="PivotTable6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6" firstHeaderRow="1" firstDataRow="1" firstDataCol="1"/>
  <pivotFields count="27">
    <pivotField dataField="1" showAll="0"/>
    <pivotField showAll="0"/>
    <pivotField numFmtId="165" showAll="0">
      <items count="4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3"/>
        <item x="34"/>
        <item x="35"/>
        <item x="36"/>
        <item x="37"/>
        <item x="38"/>
        <item x="39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40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55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93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32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t="default"/>
      </items>
    </pivotField>
    <pivotField showAll="0"/>
    <pivotField showAll="0"/>
    <pivotField showAll="0"/>
    <pivotField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18"/>
  </rowFields>
  <rowItems count="3">
    <i>
      <x/>
    </i>
    <i>
      <x v="1"/>
    </i>
    <i t="grand">
      <x/>
    </i>
  </rowItems>
  <colItems count="1">
    <i/>
  </colItems>
  <dataFields count="1">
    <dataField name="Count of session_id" fld="0" subtotal="count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86AE29-D57B-450D-B5E0-ADCD4EECC591}" name="Table1" displayName="Table1" ref="A1:X493" totalsRowShown="0" headerRowDxfId="0" headerRowBorderDxfId="4" tableBorderDxfId="5">
  <autoFilter ref="A1:X493" xr:uid="{8086AE29-D57B-450D-B5E0-ADCD4EECC591}"/>
  <tableColumns count="24">
    <tableColumn id="1" xr3:uid="{4F92F00E-E6E9-432C-A1E5-20EEBEE4DEDA}" name="session_id"/>
    <tableColumn id="2" xr3:uid="{F338340C-D52E-4639-B994-1CF6AF04AD1C}" name="zone"/>
    <tableColumn id="3" xr3:uid="{B7DDFB84-062E-455D-A6A5-580D4DA65A6E}" name="entry" dataDxfId="3"/>
    <tableColumn id="4" xr3:uid="{C9ED40BC-3B1E-4AF8-B4E2-7FC7C6F7752F}" name="exit" dataDxfId="2"/>
    <tableColumn id="5" xr3:uid="{182FF17F-9FE8-4B0E-A433-B877DD83D875}" name="duration"/>
    <tableColumn id="6" xr3:uid="{6264541F-1643-40C7-8429-1E797080B108}" name="fee"/>
    <tableColumn id="7" xr3:uid="{F61BDB14-82E7-4F00-A0FC-41E86E79F1F2}" name="exit_missing"/>
    <tableColumn id="8" xr3:uid="{8766057F-8901-41C1-B375-1A5EB130518F}" name="date" dataDxfId="1"/>
    <tableColumn id="9" xr3:uid="{601FFDD7-3413-4B33-BB3D-A248E5BDE566}" name="entry_hour"/>
    <tableColumn id="10" xr3:uid="{13676698-91CE-4D4E-A52F-79599A9D91AB}" name="day_of_week"/>
    <tableColumn id="11" xr3:uid="{EF7FD613-5A29-4E77-8D9D-66311D5BC768}" name="is_weekend"/>
    <tableColumn id="12" xr3:uid="{1A1BB941-FD21-4E2B-93FB-39CA0FC9B3DB}" name="time_period"/>
    <tableColumn id="13" xr3:uid="{085E2460-41C4-4DEB-8080-68699655735E}" name="parking_duration"/>
    <tableColumn id="14" xr3:uid="{8733CF1E-1F3E-400B-93C2-F3F3177FA044}" name="location"/>
    <tableColumn id="15" xr3:uid="{C7F81F77-A46F-49DC-B71F-03D5DAA0836A}" name="capacity"/>
    <tableColumn id="16" xr3:uid="{FDD772D8-42CD-4DE0-B045-E2AC4FE02722}" name="zone_type"/>
    <tableColumn id="17" xr3:uid="{52EC0894-1571-483C-9EFC-F91F6B50DCD3}" name="holiday"/>
    <tableColumn id="18" xr3:uid="{7223F156-4A21-4883-80AD-7E8985E5B326}" name="event"/>
    <tableColumn id="19" xr3:uid="{35A48B0D-FDB7-493E-93CB-12CCEE2D02FA}" name="rain"/>
    <tableColumn id="20" xr3:uid="{636902C6-789B-44C6-96FD-FF213701FB23}" name="temperature"/>
    <tableColumn id="21" xr3:uid="{F281B5AC-3E57-483A-8B38-1A6BCA796694}" name="payment_amount"/>
    <tableColumn id="22" xr3:uid="{92386DB5-9627-4D65-B983-91514EA20AE5}" name="payment_mode"/>
    <tableColumn id="23" xr3:uid="{33BF7865-572C-44DE-9588-F79BB37A04DB}" name="is_event_day"/>
    <tableColumn id="24" xr3:uid="{F32436C4-49A5-4B91-97B5-495F1F180C29}" name="is_rain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AD730-987F-488C-86EE-F97A3676C192}">
  <dimension ref="A3:B9"/>
  <sheetViews>
    <sheetView workbookViewId="0">
      <selection activeCell="B9" sqref="A3:B9"/>
    </sheetView>
  </sheetViews>
  <sheetFormatPr defaultRowHeight="14.4" x14ac:dyDescent="0.3"/>
  <cols>
    <col min="1" max="1" width="12.5546875" bestFit="1" customWidth="1"/>
    <col min="2" max="2" width="17.5546875" bestFit="1" customWidth="1"/>
  </cols>
  <sheetData>
    <row r="3" spans="1:2" x14ac:dyDescent="0.3">
      <c r="A3" s="5" t="s">
        <v>561</v>
      </c>
      <c r="B3" t="s">
        <v>563</v>
      </c>
    </row>
    <row r="4" spans="1:2" x14ac:dyDescent="0.3">
      <c r="A4" s="6" t="s">
        <v>61</v>
      </c>
      <c r="B4" s="7">
        <v>104</v>
      </c>
    </row>
    <row r="5" spans="1:2" x14ac:dyDescent="0.3">
      <c r="A5" s="6" t="s">
        <v>33</v>
      </c>
      <c r="B5" s="7">
        <v>93</v>
      </c>
    </row>
    <row r="6" spans="1:2" x14ac:dyDescent="0.3">
      <c r="A6" s="6" t="s">
        <v>40</v>
      </c>
      <c r="B6" s="7">
        <v>89</v>
      </c>
    </row>
    <row r="7" spans="1:2" x14ac:dyDescent="0.3">
      <c r="A7" s="6" t="s">
        <v>47</v>
      </c>
      <c r="B7" s="7">
        <v>105</v>
      </c>
    </row>
    <row r="8" spans="1:2" x14ac:dyDescent="0.3">
      <c r="A8" s="6" t="s">
        <v>25</v>
      </c>
      <c r="B8" s="7">
        <v>101</v>
      </c>
    </row>
    <row r="9" spans="1:2" x14ac:dyDescent="0.3">
      <c r="A9" s="6" t="s">
        <v>562</v>
      </c>
      <c r="B9" s="7">
        <v>492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E323E-7F97-44DA-A5FF-5DB6FA282C40}">
  <dimension ref="A3:B21"/>
  <sheetViews>
    <sheetView workbookViewId="0">
      <selection activeCell="A3" sqref="A3:B21"/>
    </sheetView>
  </sheetViews>
  <sheetFormatPr defaultRowHeight="14.4" x14ac:dyDescent="0.3"/>
  <cols>
    <col min="1" max="1" width="12.5546875" bestFit="1" customWidth="1"/>
    <col min="2" max="2" width="17.5546875" bestFit="1" customWidth="1"/>
  </cols>
  <sheetData>
    <row r="3" spans="1:2" x14ac:dyDescent="0.3">
      <c r="A3" s="5" t="s">
        <v>561</v>
      </c>
      <c r="B3" t="s">
        <v>563</v>
      </c>
    </row>
    <row r="4" spans="1:2" x14ac:dyDescent="0.3">
      <c r="A4" s="6">
        <v>6</v>
      </c>
      <c r="B4" s="7">
        <v>27</v>
      </c>
    </row>
    <row r="5" spans="1:2" x14ac:dyDescent="0.3">
      <c r="A5" s="6">
        <v>7</v>
      </c>
      <c r="B5" s="7">
        <v>17</v>
      </c>
    </row>
    <row r="6" spans="1:2" x14ac:dyDescent="0.3">
      <c r="A6" s="6">
        <v>8</v>
      </c>
      <c r="B6" s="7">
        <v>34</v>
      </c>
    </row>
    <row r="7" spans="1:2" x14ac:dyDescent="0.3">
      <c r="A7" s="6">
        <v>9</v>
      </c>
      <c r="B7" s="7">
        <v>25</v>
      </c>
    </row>
    <row r="8" spans="1:2" x14ac:dyDescent="0.3">
      <c r="A8" s="6">
        <v>10</v>
      </c>
      <c r="B8" s="7">
        <v>25</v>
      </c>
    </row>
    <row r="9" spans="1:2" x14ac:dyDescent="0.3">
      <c r="A9" s="6">
        <v>11</v>
      </c>
      <c r="B9" s="7">
        <v>31</v>
      </c>
    </row>
    <row r="10" spans="1:2" x14ac:dyDescent="0.3">
      <c r="A10" s="6">
        <v>12</v>
      </c>
      <c r="B10" s="7">
        <v>27</v>
      </c>
    </row>
    <row r="11" spans="1:2" x14ac:dyDescent="0.3">
      <c r="A11" s="6">
        <v>13</v>
      </c>
      <c r="B11" s="7">
        <v>26</v>
      </c>
    </row>
    <row r="12" spans="1:2" x14ac:dyDescent="0.3">
      <c r="A12" s="6">
        <v>14</v>
      </c>
      <c r="B12" s="7">
        <v>35</v>
      </c>
    </row>
    <row r="13" spans="1:2" x14ac:dyDescent="0.3">
      <c r="A13" s="6">
        <v>15</v>
      </c>
      <c r="B13" s="7">
        <v>22</v>
      </c>
    </row>
    <row r="14" spans="1:2" x14ac:dyDescent="0.3">
      <c r="A14" s="6">
        <v>16</v>
      </c>
      <c r="B14" s="7">
        <v>26</v>
      </c>
    </row>
    <row r="15" spans="1:2" x14ac:dyDescent="0.3">
      <c r="A15" s="6">
        <v>17</v>
      </c>
      <c r="B15" s="7">
        <v>32</v>
      </c>
    </row>
    <row r="16" spans="1:2" x14ac:dyDescent="0.3">
      <c r="A16" s="6">
        <v>18</v>
      </c>
      <c r="B16" s="7">
        <v>36</v>
      </c>
    </row>
    <row r="17" spans="1:2" x14ac:dyDescent="0.3">
      <c r="A17" s="6">
        <v>19</v>
      </c>
      <c r="B17" s="7">
        <v>34</v>
      </c>
    </row>
    <row r="18" spans="1:2" x14ac:dyDescent="0.3">
      <c r="A18" s="6">
        <v>20</v>
      </c>
      <c r="B18" s="7">
        <v>32</v>
      </c>
    </row>
    <row r="19" spans="1:2" x14ac:dyDescent="0.3">
      <c r="A19" s="6">
        <v>21</v>
      </c>
      <c r="B19" s="7">
        <v>32</v>
      </c>
    </row>
    <row r="20" spans="1:2" x14ac:dyDescent="0.3">
      <c r="A20" s="6">
        <v>22</v>
      </c>
      <c r="B20" s="7">
        <v>31</v>
      </c>
    </row>
    <row r="21" spans="1:2" x14ac:dyDescent="0.3">
      <c r="A21" s="6" t="s">
        <v>562</v>
      </c>
      <c r="B21" s="7">
        <v>492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273D5-26D2-476C-91FD-B334E0EB917C}">
  <dimension ref="A3:B8"/>
  <sheetViews>
    <sheetView workbookViewId="0">
      <selection activeCell="B8" sqref="A3:B8"/>
    </sheetView>
  </sheetViews>
  <sheetFormatPr defaultRowHeight="14.4" x14ac:dyDescent="0.3"/>
  <cols>
    <col min="1" max="1" width="12.5546875" bestFit="1" customWidth="1"/>
    <col min="2" max="2" width="18" bestFit="1" customWidth="1"/>
  </cols>
  <sheetData>
    <row r="3" spans="1:2" x14ac:dyDescent="0.3">
      <c r="A3" s="5" t="s">
        <v>561</v>
      </c>
      <c r="B3" t="s">
        <v>564</v>
      </c>
    </row>
    <row r="4" spans="1:2" x14ac:dyDescent="0.3">
      <c r="A4" s="6" t="s">
        <v>37</v>
      </c>
      <c r="B4" s="7">
        <v>2.1834188034188049</v>
      </c>
    </row>
    <row r="5" spans="1:2" x14ac:dyDescent="0.3">
      <c r="A5" s="6" t="s">
        <v>50</v>
      </c>
      <c r="B5" s="7">
        <v>2.024519230769231</v>
      </c>
    </row>
    <row r="6" spans="1:2" x14ac:dyDescent="0.3">
      <c r="A6" s="6" t="s">
        <v>29</v>
      </c>
      <c r="B6" s="7">
        <v>2.3278350515463924</v>
      </c>
    </row>
    <row r="7" spans="1:2" x14ac:dyDescent="0.3">
      <c r="A7" s="6" t="s">
        <v>44</v>
      </c>
      <c r="B7" s="7">
        <v>2.2439922480620149</v>
      </c>
    </row>
    <row r="8" spans="1:2" x14ac:dyDescent="0.3">
      <c r="A8" s="6" t="s">
        <v>562</v>
      </c>
      <c r="B8" s="7">
        <v>2.1890041493775931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85F1B-89E9-4AE2-9831-01C52164E1F1}">
  <dimension ref="A3:B6"/>
  <sheetViews>
    <sheetView workbookViewId="0">
      <selection activeCell="D24" sqref="D24"/>
    </sheetView>
  </sheetViews>
  <sheetFormatPr defaultRowHeight="14.4" x14ac:dyDescent="0.3"/>
  <cols>
    <col min="1" max="1" width="12.5546875" bestFit="1" customWidth="1"/>
    <col min="2" max="2" width="17.5546875" bestFit="1" customWidth="1"/>
  </cols>
  <sheetData>
    <row r="3" spans="1:2" x14ac:dyDescent="0.3">
      <c r="A3" s="5" t="s">
        <v>561</v>
      </c>
      <c r="B3" t="s">
        <v>563</v>
      </c>
    </row>
    <row r="4" spans="1:2" x14ac:dyDescent="0.3">
      <c r="A4" s="6">
        <v>0</v>
      </c>
      <c r="B4" s="7">
        <v>464</v>
      </c>
    </row>
    <row r="5" spans="1:2" x14ac:dyDescent="0.3">
      <c r="A5" s="6">
        <v>1</v>
      </c>
      <c r="B5" s="7">
        <v>28</v>
      </c>
    </row>
    <row r="6" spans="1:2" x14ac:dyDescent="0.3">
      <c r="A6" s="6" t="s">
        <v>562</v>
      </c>
      <c r="B6" s="7">
        <v>492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0D683-D089-4CD7-9A51-E2001B1AB50E}">
  <dimension ref="A3:B6"/>
  <sheetViews>
    <sheetView workbookViewId="0">
      <selection activeCell="A23" sqref="A23"/>
    </sheetView>
  </sheetViews>
  <sheetFormatPr defaultRowHeight="14.4" x14ac:dyDescent="0.3"/>
  <cols>
    <col min="1" max="1" width="12.5546875" bestFit="1" customWidth="1"/>
    <col min="2" max="2" width="17.5546875" bestFit="1" customWidth="1"/>
  </cols>
  <sheetData>
    <row r="3" spans="1:2" x14ac:dyDescent="0.3">
      <c r="A3" s="5" t="s">
        <v>561</v>
      </c>
      <c r="B3" t="s">
        <v>563</v>
      </c>
    </row>
    <row r="4" spans="1:2" x14ac:dyDescent="0.3">
      <c r="A4" s="6">
        <v>0</v>
      </c>
      <c r="B4" s="7">
        <v>363</v>
      </c>
    </row>
    <row r="5" spans="1:2" x14ac:dyDescent="0.3">
      <c r="A5" s="6">
        <v>1</v>
      </c>
      <c r="B5" s="7">
        <v>129</v>
      </c>
    </row>
    <row r="6" spans="1:2" x14ac:dyDescent="0.3">
      <c r="A6" s="6" t="s">
        <v>562</v>
      </c>
      <c r="B6" s="7">
        <v>492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332C4-C3FD-44D5-B05C-C7EF8C69F629}">
  <dimension ref="L1:T3"/>
  <sheetViews>
    <sheetView showGridLines="0" tabSelected="1" topLeftCell="E1" zoomScaleNormal="100" workbookViewId="0">
      <selection activeCell="G3" sqref="G3"/>
    </sheetView>
  </sheetViews>
  <sheetFormatPr defaultRowHeight="14.4" x14ac:dyDescent="0.3"/>
  <sheetData>
    <row r="1" spans="12:20" ht="18" customHeight="1" x14ac:dyDescent="0.3">
      <c r="L1" s="9" t="s">
        <v>565</v>
      </c>
      <c r="M1" s="9"/>
      <c r="N1" s="9"/>
      <c r="O1" s="9"/>
      <c r="P1" s="9"/>
      <c r="Q1" s="9"/>
      <c r="R1" s="9"/>
      <c r="S1" s="9"/>
      <c r="T1" s="9"/>
    </row>
    <row r="2" spans="12:20" ht="18" customHeight="1" x14ac:dyDescent="0.3">
      <c r="L2" s="9"/>
      <c r="M2" s="9"/>
      <c r="N2" s="9"/>
      <c r="O2" s="9"/>
      <c r="P2" s="9"/>
      <c r="Q2" s="9"/>
      <c r="R2" s="9"/>
      <c r="S2" s="9"/>
      <c r="T2" s="9"/>
    </row>
    <row r="3" spans="12:20" x14ac:dyDescent="0.3">
      <c r="L3" s="8"/>
      <c r="M3" s="8"/>
      <c r="N3" s="8"/>
      <c r="O3" s="8"/>
      <c r="P3" s="8"/>
      <c r="Q3" s="8"/>
      <c r="R3" s="8"/>
      <c r="S3" s="8"/>
      <c r="T3" s="8"/>
    </row>
  </sheetData>
  <mergeCells count="1">
    <mergeCell ref="L1:T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93"/>
  <sheetViews>
    <sheetView topLeftCell="A2" workbookViewId="0">
      <selection activeCell="B14" sqref="B14"/>
    </sheetView>
  </sheetViews>
  <sheetFormatPr defaultRowHeight="14.4" x14ac:dyDescent="0.3"/>
  <cols>
    <col min="1" max="1" width="11.44140625" customWidth="1"/>
    <col min="5" max="5" width="10.109375" customWidth="1"/>
    <col min="7" max="7" width="13.109375" customWidth="1"/>
    <col min="9" max="9" width="12.33203125" customWidth="1"/>
    <col min="10" max="10" width="14.21875" customWidth="1"/>
    <col min="11" max="11" width="12.77734375" customWidth="1"/>
    <col min="12" max="12" width="13.109375" customWidth="1"/>
    <col min="13" max="13" width="17.44140625" customWidth="1"/>
    <col min="14" max="14" width="9.6640625" customWidth="1"/>
    <col min="15" max="15" width="9.88671875" customWidth="1"/>
    <col min="16" max="16" width="11.6640625" customWidth="1"/>
    <col min="17" max="17" width="9.109375" customWidth="1"/>
    <col min="20" max="20" width="13.44140625" customWidth="1"/>
    <col min="21" max="21" width="18.109375" customWidth="1"/>
    <col min="22" max="22" width="16.33203125" customWidth="1"/>
    <col min="23" max="23" width="14" customWidth="1"/>
    <col min="24" max="24" width="9.33203125" customWidth="1"/>
  </cols>
  <sheetData>
    <row r="1" spans="1:24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 x14ac:dyDescent="0.3">
      <c r="A2" t="s">
        <v>24</v>
      </c>
      <c r="B2" t="s">
        <v>25</v>
      </c>
      <c r="C2" s="2">
        <v>45658.555555555547</v>
      </c>
      <c r="D2" s="2">
        <v>45658.71597222222</v>
      </c>
      <c r="E2">
        <v>3.85</v>
      </c>
      <c r="F2">
        <v>49.8</v>
      </c>
      <c r="G2" t="b">
        <v>0</v>
      </c>
      <c r="H2" s="2">
        <v>45658</v>
      </c>
      <c r="I2">
        <v>13</v>
      </c>
      <c r="J2" t="s">
        <v>26</v>
      </c>
      <c r="K2">
        <v>0</v>
      </c>
      <c r="L2" t="s">
        <v>27</v>
      </c>
      <c r="M2">
        <v>3.85</v>
      </c>
      <c r="N2" t="s">
        <v>28</v>
      </c>
      <c r="O2">
        <v>70</v>
      </c>
      <c r="P2" t="s">
        <v>29</v>
      </c>
      <c r="Q2">
        <v>0</v>
      </c>
      <c r="R2">
        <v>0</v>
      </c>
      <c r="S2">
        <v>0</v>
      </c>
      <c r="T2">
        <v>26.2</v>
      </c>
      <c r="U2">
        <v>49.8</v>
      </c>
      <c r="V2" t="s">
        <v>30</v>
      </c>
      <c r="W2">
        <v>0</v>
      </c>
      <c r="X2" t="s">
        <v>31</v>
      </c>
    </row>
    <row r="3" spans="1:24" x14ac:dyDescent="0.3">
      <c r="A3" t="s">
        <v>32</v>
      </c>
      <c r="B3" t="s">
        <v>33</v>
      </c>
      <c r="C3" s="2">
        <v>45659.308333333327</v>
      </c>
      <c r="D3" s="2">
        <v>45659.334027777782</v>
      </c>
      <c r="E3">
        <v>0.6166666666666667</v>
      </c>
      <c r="F3">
        <v>10</v>
      </c>
      <c r="G3" t="b">
        <v>0</v>
      </c>
      <c r="H3" s="2">
        <v>45659</v>
      </c>
      <c r="I3">
        <v>7</v>
      </c>
      <c r="J3" t="s">
        <v>34</v>
      </c>
      <c r="K3">
        <v>0</v>
      </c>
      <c r="L3" t="s">
        <v>35</v>
      </c>
      <c r="M3">
        <v>0.6166666666666667</v>
      </c>
      <c r="N3" t="s">
        <v>36</v>
      </c>
      <c r="O3">
        <v>60</v>
      </c>
      <c r="P3" t="s">
        <v>37</v>
      </c>
      <c r="Q3">
        <v>0</v>
      </c>
      <c r="R3">
        <v>0</v>
      </c>
      <c r="S3">
        <v>0</v>
      </c>
      <c r="T3">
        <v>30.9</v>
      </c>
      <c r="U3">
        <v>10</v>
      </c>
      <c r="V3" t="s">
        <v>38</v>
      </c>
      <c r="W3">
        <v>0</v>
      </c>
      <c r="X3" t="s">
        <v>31</v>
      </c>
    </row>
    <row r="4" spans="1:24" x14ac:dyDescent="0.3">
      <c r="A4" t="s">
        <v>39</v>
      </c>
      <c r="B4" t="s">
        <v>40</v>
      </c>
      <c r="C4" s="2">
        <v>45660.734027777777</v>
      </c>
      <c r="D4" s="2">
        <v>45660.805555555547</v>
      </c>
      <c r="E4">
        <v>1.716666666666667</v>
      </c>
      <c r="F4">
        <v>30.76</v>
      </c>
      <c r="G4" t="b">
        <v>0</v>
      </c>
      <c r="H4" s="2">
        <v>45660</v>
      </c>
      <c r="I4">
        <v>17</v>
      </c>
      <c r="J4" t="s">
        <v>41</v>
      </c>
      <c r="K4">
        <v>0</v>
      </c>
      <c r="L4" t="s">
        <v>42</v>
      </c>
      <c r="M4">
        <v>1.716666666666667</v>
      </c>
      <c r="N4" t="s">
        <v>43</v>
      </c>
      <c r="O4">
        <v>100</v>
      </c>
      <c r="P4" t="s">
        <v>44</v>
      </c>
      <c r="Q4">
        <v>0</v>
      </c>
      <c r="R4">
        <v>0</v>
      </c>
      <c r="S4">
        <v>0</v>
      </c>
      <c r="T4">
        <v>30</v>
      </c>
      <c r="U4">
        <v>30.76</v>
      </c>
      <c r="V4" t="s">
        <v>45</v>
      </c>
      <c r="W4">
        <v>0</v>
      </c>
      <c r="X4" t="s">
        <v>31</v>
      </c>
    </row>
    <row r="5" spans="1:24" x14ac:dyDescent="0.3">
      <c r="A5" t="s">
        <v>46</v>
      </c>
      <c r="B5" t="s">
        <v>47</v>
      </c>
      <c r="C5" s="2">
        <v>45661.838194444441</v>
      </c>
      <c r="D5" s="2">
        <v>45661.880555555559</v>
      </c>
      <c r="E5">
        <v>1.0166666666666671</v>
      </c>
      <c r="F5">
        <v>28.31</v>
      </c>
      <c r="G5" t="b">
        <v>0</v>
      </c>
      <c r="H5" s="2">
        <v>45661</v>
      </c>
      <c r="I5">
        <v>20</v>
      </c>
      <c r="J5" t="s">
        <v>48</v>
      </c>
      <c r="K5">
        <v>1</v>
      </c>
      <c r="L5" t="s">
        <v>42</v>
      </c>
      <c r="M5">
        <v>1.0166666666666671</v>
      </c>
      <c r="N5" t="s">
        <v>49</v>
      </c>
      <c r="O5">
        <v>50</v>
      </c>
      <c r="P5" t="s">
        <v>50</v>
      </c>
      <c r="Q5">
        <v>1</v>
      </c>
      <c r="R5">
        <v>0</v>
      </c>
      <c r="S5">
        <v>0</v>
      </c>
      <c r="T5">
        <v>26.7</v>
      </c>
      <c r="U5">
        <v>28.31</v>
      </c>
      <c r="V5" t="s">
        <v>38</v>
      </c>
      <c r="W5">
        <v>0</v>
      </c>
      <c r="X5" t="s">
        <v>31</v>
      </c>
    </row>
    <row r="6" spans="1:24" x14ac:dyDescent="0.3">
      <c r="A6" t="s">
        <v>51</v>
      </c>
      <c r="B6" t="s">
        <v>33</v>
      </c>
      <c r="C6" s="2">
        <v>45662.833333333343</v>
      </c>
      <c r="D6" s="2">
        <v>45662.897916666669</v>
      </c>
      <c r="E6">
        <v>1.55</v>
      </c>
      <c r="F6">
        <v>21.41</v>
      </c>
      <c r="G6" t="b">
        <v>0</v>
      </c>
      <c r="H6" s="2">
        <v>45662</v>
      </c>
      <c r="I6">
        <v>20</v>
      </c>
      <c r="J6" t="s">
        <v>52</v>
      </c>
      <c r="K6">
        <v>1</v>
      </c>
      <c r="L6" t="s">
        <v>42</v>
      </c>
      <c r="M6">
        <v>1.55</v>
      </c>
      <c r="N6" t="s">
        <v>36</v>
      </c>
      <c r="O6">
        <v>60</v>
      </c>
      <c r="P6" t="s">
        <v>37</v>
      </c>
      <c r="Q6">
        <v>1</v>
      </c>
      <c r="R6">
        <v>1</v>
      </c>
      <c r="S6">
        <v>0</v>
      </c>
      <c r="T6">
        <v>28</v>
      </c>
      <c r="U6">
        <v>21.41</v>
      </c>
      <c r="V6" t="s">
        <v>38</v>
      </c>
      <c r="W6">
        <v>1</v>
      </c>
      <c r="X6" t="s">
        <v>31</v>
      </c>
    </row>
    <row r="7" spans="1:24" x14ac:dyDescent="0.3">
      <c r="A7" t="s">
        <v>53</v>
      </c>
      <c r="B7" t="s">
        <v>33</v>
      </c>
      <c r="C7" s="2">
        <v>45663.527083333327</v>
      </c>
      <c r="D7" s="2">
        <v>45663.64166666667</v>
      </c>
      <c r="E7">
        <v>2.75</v>
      </c>
      <c r="F7">
        <v>36.5</v>
      </c>
      <c r="G7" t="b">
        <v>0</v>
      </c>
      <c r="H7" s="2">
        <v>45663</v>
      </c>
      <c r="I7">
        <v>12</v>
      </c>
      <c r="J7" t="s">
        <v>54</v>
      </c>
      <c r="K7">
        <v>0</v>
      </c>
      <c r="L7" t="s">
        <v>27</v>
      </c>
      <c r="M7">
        <v>2.75</v>
      </c>
      <c r="N7" t="s">
        <v>36</v>
      </c>
      <c r="O7">
        <v>60</v>
      </c>
      <c r="P7" t="s">
        <v>37</v>
      </c>
      <c r="Q7">
        <v>0</v>
      </c>
      <c r="R7">
        <v>0</v>
      </c>
      <c r="S7">
        <v>0</v>
      </c>
      <c r="T7">
        <v>28.8</v>
      </c>
      <c r="U7">
        <v>36.5</v>
      </c>
      <c r="V7" t="s">
        <v>30</v>
      </c>
      <c r="W7">
        <v>0</v>
      </c>
      <c r="X7" t="s">
        <v>31</v>
      </c>
    </row>
    <row r="8" spans="1:24" x14ac:dyDescent="0.3">
      <c r="A8" t="s">
        <v>55</v>
      </c>
      <c r="B8" t="s">
        <v>25</v>
      </c>
      <c r="C8" s="2">
        <v>45664.423611111109</v>
      </c>
      <c r="D8" s="2">
        <v>45664.57916666667</v>
      </c>
      <c r="E8">
        <v>3.7333333333333329</v>
      </c>
      <c r="F8">
        <v>47.6</v>
      </c>
      <c r="G8" t="b">
        <v>0</v>
      </c>
      <c r="H8" s="2">
        <v>45664</v>
      </c>
      <c r="I8">
        <v>10</v>
      </c>
      <c r="J8" t="s">
        <v>56</v>
      </c>
      <c r="K8">
        <v>0</v>
      </c>
      <c r="L8" t="s">
        <v>35</v>
      </c>
      <c r="M8">
        <v>3.7333333333333329</v>
      </c>
      <c r="N8" t="s">
        <v>28</v>
      </c>
      <c r="O8">
        <v>70</v>
      </c>
      <c r="P8" t="s">
        <v>29</v>
      </c>
      <c r="Q8">
        <v>0</v>
      </c>
      <c r="R8">
        <v>0</v>
      </c>
      <c r="S8">
        <v>0</v>
      </c>
      <c r="T8">
        <v>31.5</v>
      </c>
      <c r="U8">
        <v>47.6</v>
      </c>
      <c r="V8" t="s">
        <v>45</v>
      </c>
      <c r="W8">
        <v>0</v>
      </c>
      <c r="X8" t="s">
        <v>31</v>
      </c>
    </row>
    <row r="9" spans="1:24" x14ac:dyDescent="0.3">
      <c r="A9" t="s">
        <v>57</v>
      </c>
      <c r="B9" t="s">
        <v>40</v>
      </c>
      <c r="C9" s="2">
        <v>45665.257638888892</v>
      </c>
      <c r="D9" s="2">
        <v>45665.40902777778</v>
      </c>
      <c r="E9">
        <v>3.6333333333333329</v>
      </c>
      <c r="F9">
        <v>49.93</v>
      </c>
      <c r="G9" t="b">
        <v>0</v>
      </c>
      <c r="H9" s="2">
        <v>45665</v>
      </c>
      <c r="I9">
        <v>6</v>
      </c>
      <c r="J9" t="s">
        <v>26</v>
      </c>
      <c r="K9">
        <v>0</v>
      </c>
      <c r="L9" t="s">
        <v>35</v>
      </c>
      <c r="M9">
        <v>3.6333333333333329</v>
      </c>
      <c r="N9" t="s">
        <v>43</v>
      </c>
      <c r="O9">
        <v>100</v>
      </c>
      <c r="P9" t="s">
        <v>44</v>
      </c>
      <c r="Q9">
        <v>0</v>
      </c>
      <c r="R9">
        <v>0</v>
      </c>
      <c r="S9">
        <v>0</v>
      </c>
      <c r="T9">
        <v>34</v>
      </c>
      <c r="U9">
        <v>49.93</v>
      </c>
      <c r="V9" t="s">
        <v>30</v>
      </c>
      <c r="W9">
        <v>0</v>
      </c>
      <c r="X9" t="s">
        <v>31</v>
      </c>
    </row>
    <row r="10" spans="1:24" x14ac:dyDescent="0.3">
      <c r="A10" t="s">
        <v>58</v>
      </c>
      <c r="B10" t="s">
        <v>47</v>
      </c>
      <c r="C10" s="2">
        <v>45666.511111111111</v>
      </c>
      <c r="F10">
        <v>57.95</v>
      </c>
      <c r="G10" t="b">
        <v>1</v>
      </c>
      <c r="H10" s="2">
        <v>45666</v>
      </c>
      <c r="I10">
        <v>12</v>
      </c>
      <c r="J10" t="s">
        <v>34</v>
      </c>
      <c r="K10">
        <v>0</v>
      </c>
      <c r="L10" t="s">
        <v>27</v>
      </c>
      <c r="N10" t="s">
        <v>49</v>
      </c>
      <c r="O10">
        <v>50</v>
      </c>
      <c r="P10" t="s">
        <v>50</v>
      </c>
      <c r="Q10">
        <v>0</v>
      </c>
      <c r="R10">
        <v>0</v>
      </c>
      <c r="S10">
        <v>1</v>
      </c>
      <c r="T10">
        <v>30.7</v>
      </c>
      <c r="U10">
        <v>57.95</v>
      </c>
      <c r="V10" t="s">
        <v>38</v>
      </c>
      <c r="W10">
        <v>0</v>
      </c>
      <c r="X10" t="s">
        <v>59</v>
      </c>
    </row>
    <row r="11" spans="1:24" x14ac:dyDescent="0.3">
      <c r="A11" t="s">
        <v>60</v>
      </c>
      <c r="B11" t="s">
        <v>61</v>
      </c>
      <c r="C11" s="2">
        <v>45667.612500000003</v>
      </c>
      <c r="D11" s="2">
        <v>45667.624305555553</v>
      </c>
      <c r="E11">
        <v>0.28333333333333333</v>
      </c>
      <c r="F11">
        <v>10</v>
      </c>
      <c r="G11" t="b">
        <v>0</v>
      </c>
      <c r="H11" s="2">
        <v>45667</v>
      </c>
      <c r="I11">
        <v>14</v>
      </c>
      <c r="J11" t="s">
        <v>41</v>
      </c>
      <c r="K11">
        <v>0</v>
      </c>
      <c r="L11" t="s">
        <v>27</v>
      </c>
      <c r="M11">
        <v>0.28333333333333333</v>
      </c>
      <c r="N11" t="s">
        <v>62</v>
      </c>
      <c r="O11">
        <v>80</v>
      </c>
      <c r="P11" t="s">
        <v>37</v>
      </c>
      <c r="Q11">
        <v>0</v>
      </c>
      <c r="R11">
        <v>0</v>
      </c>
      <c r="S11">
        <v>1</v>
      </c>
      <c r="T11">
        <v>27.4</v>
      </c>
      <c r="U11">
        <v>10</v>
      </c>
      <c r="V11" t="s">
        <v>30</v>
      </c>
      <c r="W11">
        <v>0</v>
      </c>
      <c r="X11" t="s">
        <v>59</v>
      </c>
    </row>
    <row r="12" spans="1:24" x14ac:dyDescent="0.3">
      <c r="A12" t="s">
        <v>63</v>
      </c>
      <c r="B12" t="s">
        <v>33</v>
      </c>
      <c r="C12" s="2">
        <v>45668.824999999997</v>
      </c>
      <c r="D12" s="2">
        <v>45668.931250000001</v>
      </c>
      <c r="E12">
        <v>2.5499999999999998</v>
      </c>
      <c r="F12">
        <v>41.51</v>
      </c>
      <c r="G12" t="b">
        <v>0</v>
      </c>
      <c r="H12" s="2">
        <v>45668</v>
      </c>
      <c r="I12">
        <v>19</v>
      </c>
      <c r="J12" t="s">
        <v>48</v>
      </c>
      <c r="K12">
        <v>1</v>
      </c>
      <c r="L12" t="s">
        <v>42</v>
      </c>
      <c r="M12">
        <v>2.5499999999999998</v>
      </c>
      <c r="N12" t="s">
        <v>36</v>
      </c>
      <c r="O12">
        <v>60</v>
      </c>
      <c r="P12" t="s">
        <v>37</v>
      </c>
      <c r="Q12">
        <v>1</v>
      </c>
      <c r="R12">
        <v>0</v>
      </c>
      <c r="S12">
        <v>0</v>
      </c>
      <c r="T12">
        <v>27.4</v>
      </c>
      <c r="U12">
        <v>41.51</v>
      </c>
      <c r="V12" t="s">
        <v>45</v>
      </c>
      <c r="W12">
        <v>0</v>
      </c>
      <c r="X12" t="s">
        <v>31</v>
      </c>
    </row>
    <row r="13" spans="1:24" x14ac:dyDescent="0.3">
      <c r="A13" t="s">
        <v>64</v>
      </c>
      <c r="B13" t="s">
        <v>47</v>
      </c>
      <c r="C13" s="2">
        <v>45669.445138888892</v>
      </c>
      <c r="D13" s="2">
        <v>45669.594444444447</v>
      </c>
      <c r="E13">
        <v>3.583333333333333</v>
      </c>
      <c r="F13">
        <v>55.17</v>
      </c>
      <c r="G13" t="b">
        <v>0</v>
      </c>
      <c r="H13" s="2">
        <v>45669</v>
      </c>
      <c r="I13">
        <v>10</v>
      </c>
      <c r="J13" t="s">
        <v>52</v>
      </c>
      <c r="K13">
        <v>1</v>
      </c>
      <c r="L13" t="s">
        <v>35</v>
      </c>
      <c r="M13">
        <v>3.583333333333333</v>
      </c>
      <c r="N13" t="s">
        <v>49</v>
      </c>
      <c r="O13">
        <v>50</v>
      </c>
      <c r="P13" t="s">
        <v>50</v>
      </c>
      <c r="Q13">
        <v>1</v>
      </c>
      <c r="R13">
        <v>1</v>
      </c>
      <c r="S13">
        <v>0</v>
      </c>
      <c r="T13">
        <v>29.1</v>
      </c>
      <c r="U13">
        <v>55.17</v>
      </c>
      <c r="V13" t="s">
        <v>38</v>
      </c>
      <c r="W13">
        <v>1</v>
      </c>
      <c r="X13" t="s">
        <v>31</v>
      </c>
    </row>
    <row r="14" spans="1:24" x14ac:dyDescent="0.3">
      <c r="A14" t="s">
        <v>65</v>
      </c>
      <c r="B14" t="s">
        <v>40</v>
      </c>
      <c r="C14" s="2">
        <v>45670.931250000001</v>
      </c>
      <c r="D14" s="2">
        <v>45671.084722222222</v>
      </c>
      <c r="E14">
        <v>3.6833333333333331</v>
      </c>
      <c r="F14">
        <v>46.57</v>
      </c>
      <c r="G14" t="b">
        <v>0</v>
      </c>
      <c r="H14" s="2">
        <v>45670</v>
      </c>
      <c r="I14">
        <v>22</v>
      </c>
      <c r="J14" t="s">
        <v>54</v>
      </c>
      <c r="K14">
        <v>0</v>
      </c>
      <c r="L14" t="s">
        <v>66</v>
      </c>
      <c r="M14">
        <v>3.6833333333333331</v>
      </c>
      <c r="N14" t="s">
        <v>43</v>
      </c>
      <c r="O14">
        <v>100</v>
      </c>
      <c r="P14" t="s">
        <v>44</v>
      </c>
      <c r="Q14">
        <v>0</v>
      </c>
      <c r="R14">
        <v>0</v>
      </c>
      <c r="S14">
        <v>0</v>
      </c>
      <c r="T14">
        <v>27.9</v>
      </c>
      <c r="U14">
        <v>46.57</v>
      </c>
      <c r="V14" t="s">
        <v>30</v>
      </c>
      <c r="W14">
        <v>0</v>
      </c>
      <c r="X14" t="s">
        <v>31</v>
      </c>
    </row>
    <row r="15" spans="1:24" x14ac:dyDescent="0.3">
      <c r="A15" t="s">
        <v>67</v>
      </c>
      <c r="B15" t="s">
        <v>25</v>
      </c>
      <c r="C15" s="2">
        <v>45671.342361111107</v>
      </c>
      <c r="D15" s="2">
        <v>45671.456250000003</v>
      </c>
      <c r="E15">
        <v>2.7333333333333329</v>
      </c>
      <c r="F15">
        <v>44.49</v>
      </c>
      <c r="G15" t="b">
        <v>0</v>
      </c>
      <c r="H15" s="2">
        <v>45671</v>
      </c>
      <c r="I15">
        <v>8</v>
      </c>
      <c r="J15" t="s">
        <v>56</v>
      </c>
      <c r="K15">
        <v>0</v>
      </c>
      <c r="L15" t="s">
        <v>35</v>
      </c>
      <c r="M15">
        <v>2.7333333333333329</v>
      </c>
      <c r="N15" t="s">
        <v>28</v>
      </c>
      <c r="O15">
        <v>70</v>
      </c>
      <c r="P15" t="s">
        <v>29</v>
      </c>
      <c r="Q15">
        <v>0</v>
      </c>
      <c r="R15">
        <v>0</v>
      </c>
      <c r="S15">
        <v>0</v>
      </c>
      <c r="T15">
        <v>32.4</v>
      </c>
      <c r="U15">
        <v>44.49</v>
      </c>
      <c r="V15" t="s">
        <v>38</v>
      </c>
      <c r="W15">
        <v>0</v>
      </c>
      <c r="X15" t="s">
        <v>31</v>
      </c>
    </row>
    <row r="16" spans="1:24" x14ac:dyDescent="0.3">
      <c r="A16" t="s">
        <v>68</v>
      </c>
      <c r="B16" t="s">
        <v>61</v>
      </c>
      <c r="C16" s="2">
        <v>45672.561111111107</v>
      </c>
      <c r="D16" s="2">
        <v>45672.629861111112</v>
      </c>
      <c r="E16">
        <v>1.65</v>
      </c>
      <c r="F16">
        <v>21.76</v>
      </c>
      <c r="G16" t="b">
        <v>0</v>
      </c>
      <c r="H16" s="2">
        <v>45672</v>
      </c>
      <c r="I16">
        <v>13</v>
      </c>
      <c r="J16" t="s">
        <v>26</v>
      </c>
      <c r="K16">
        <v>0</v>
      </c>
      <c r="L16" t="s">
        <v>27</v>
      </c>
      <c r="M16">
        <v>1.65</v>
      </c>
      <c r="N16" t="s">
        <v>62</v>
      </c>
      <c r="O16">
        <v>80</v>
      </c>
      <c r="P16" t="s">
        <v>37</v>
      </c>
      <c r="Q16">
        <v>1</v>
      </c>
      <c r="R16">
        <v>0</v>
      </c>
      <c r="S16">
        <v>0</v>
      </c>
      <c r="T16">
        <v>31</v>
      </c>
      <c r="U16">
        <v>21.76</v>
      </c>
      <c r="V16" t="s">
        <v>38</v>
      </c>
      <c r="W16">
        <v>0</v>
      </c>
      <c r="X16" t="s">
        <v>31</v>
      </c>
    </row>
    <row r="17" spans="1:24" x14ac:dyDescent="0.3">
      <c r="A17" t="s">
        <v>69</v>
      </c>
      <c r="B17" t="s">
        <v>33</v>
      </c>
      <c r="C17" s="2">
        <v>45673.835416666669</v>
      </c>
      <c r="D17" s="2">
        <v>45673.927083333343</v>
      </c>
      <c r="E17">
        <v>2.2000000000000002</v>
      </c>
      <c r="F17">
        <v>33.85</v>
      </c>
      <c r="G17" t="b">
        <v>0</v>
      </c>
      <c r="H17" s="2">
        <v>45673</v>
      </c>
      <c r="I17">
        <v>20</v>
      </c>
      <c r="J17" t="s">
        <v>34</v>
      </c>
      <c r="K17">
        <v>0</v>
      </c>
      <c r="L17" t="s">
        <v>42</v>
      </c>
      <c r="M17">
        <v>2.2000000000000002</v>
      </c>
      <c r="N17" t="s">
        <v>36</v>
      </c>
      <c r="O17">
        <v>60</v>
      </c>
      <c r="P17" t="s">
        <v>37</v>
      </c>
      <c r="Q17">
        <v>0</v>
      </c>
      <c r="R17">
        <v>0</v>
      </c>
      <c r="S17">
        <v>0</v>
      </c>
      <c r="T17">
        <v>36.1</v>
      </c>
      <c r="U17">
        <v>33.85</v>
      </c>
      <c r="V17" t="s">
        <v>30</v>
      </c>
      <c r="W17">
        <v>0</v>
      </c>
      <c r="X17" t="s">
        <v>31</v>
      </c>
    </row>
    <row r="18" spans="1:24" x14ac:dyDescent="0.3">
      <c r="A18" t="s">
        <v>70</v>
      </c>
      <c r="B18" t="s">
        <v>33</v>
      </c>
      <c r="C18" s="2">
        <v>45674.692361111112</v>
      </c>
      <c r="D18" s="2">
        <v>45674.780555555553</v>
      </c>
      <c r="E18">
        <v>2.1166666666666671</v>
      </c>
      <c r="F18">
        <v>38.54</v>
      </c>
      <c r="G18" t="b">
        <v>0</v>
      </c>
      <c r="H18" s="2">
        <v>45674</v>
      </c>
      <c r="I18">
        <v>16</v>
      </c>
      <c r="J18" t="s">
        <v>41</v>
      </c>
      <c r="K18">
        <v>0</v>
      </c>
      <c r="L18" t="s">
        <v>27</v>
      </c>
      <c r="M18">
        <v>2.1166666666666671</v>
      </c>
      <c r="N18" t="s">
        <v>36</v>
      </c>
      <c r="O18">
        <v>60</v>
      </c>
      <c r="P18" t="s">
        <v>37</v>
      </c>
      <c r="Q18">
        <v>0</v>
      </c>
      <c r="R18">
        <v>0</v>
      </c>
      <c r="S18">
        <v>0</v>
      </c>
      <c r="T18">
        <v>28.5</v>
      </c>
      <c r="U18">
        <v>38.54</v>
      </c>
      <c r="V18" t="s">
        <v>38</v>
      </c>
      <c r="W18">
        <v>0</v>
      </c>
      <c r="X18" t="s">
        <v>31</v>
      </c>
    </row>
    <row r="19" spans="1:24" x14ac:dyDescent="0.3">
      <c r="A19" t="s">
        <v>71</v>
      </c>
      <c r="B19" t="s">
        <v>40</v>
      </c>
      <c r="C19" s="2">
        <v>45675.861111111109</v>
      </c>
      <c r="D19" s="2">
        <v>45675.953472222223</v>
      </c>
      <c r="E19">
        <v>2.2166666666666668</v>
      </c>
      <c r="F19">
        <v>42.92</v>
      </c>
      <c r="G19" t="b">
        <v>0</v>
      </c>
      <c r="H19" s="2">
        <v>45675</v>
      </c>
      <c r="I19">
        <v>20</v>
      </c>
      <c r="J19" t="s">
        <v>48</v>
      </c>
      <c r="K19">
        <v>1</v>
      </c>
      <c r="L19" t="s">
        <v>42</v>
      </c>
      <c r="M19">
        <v>2.2166666666666668</v>
      </c>
      <c r="N19" t="s">
        <v>43</v>
      </c>
      <c r="O19">
        <v>100</v>
      </c>
      <c r="P19" t="s">
        <v>44</v>
      </c>
      <c r="Q19">
        <v>1</v>
      </c>
      <c r="R19">
        <v>0</v>
      </c>
      <c r="S19">
        <v>0</v>
      </c>
      <c r="T19">
        <v>27.7</v>
      </c>
      <c r="U19">
        <v>42.92</v>
      </c>
      <c r="V19" t="s">
        <v>38</v>
      </c>
      <c r="W19">
        <v>0</v>
      </c>
      <c r="X19" t="s">
        <v>31</v>
      </c>
    </row>
    <row r="20" spans="1:24" x14ac:dyDescent="0.3">
      <c r="A20" t="s">
        <v>72</v>
      </c>
      <c r="B20" t="s">
        <v>40</v>
      </c>
      <c r="C20" s="2">
        <v>45676.758333333331</v>
      </c>
      <c r="D20" s="2">
        <v>45676.828472222223</v>
      </c>
      <c r="E20">
        <v>1.6833333333333329</v>
      </c>
      <c r="F20">
        <v>30.19</v>
      </c>
      <c r="G20" t="b">
        <v>0</v>
      </c>
      <c r="H20" s="2">
        <v>45676</v>
      </c>
      <c r="I20">
        <v>18</v>
      </c>
      <c r="J20" t="s">
        <v>52</v>
      </c>
      <c r="K20">
        <v>1</v>
      </c>
      <c r="L20" t="s">
        <v>42</v>
      </c>
      <c r="M20">
        <v>1.6833333333333329</v>
      </c>
      <c r="N20" t="s">
        <v>43</v>
      </c>
      <c r="O20">
        <v>100</v>
      </c>
      <c r="P20" t="s">
        <v>44</v>
      </c>
      <c r="Q20">
        <v>1</v>
      </c>
      <c r="R20">
        <v>1</v>
      </c>
      <c r="S20">
        <v>0</v>
      </c>
      <c r="T20">
        <v>27</v>
      </c>
      <c r="U20">
        <v>30.19</v>
      </c>
      <c r="V20" t="s">
        <v>38</v>
      </c>
      <c r="W20">
        <v>1</v>
      </c>
      <c r="X20" t="s">
        <v>31</v>
      </c>
    </row>
    <row r="21" spans="1:24" x14ac:dyDescent="0.3">
      <c r="A21" t="s">
        <v>73</v>
      </c>
      <c r="B21" t="s">
        <v>33</v>
      </c>
      <c r="C21" s="2">
        <v>45677.823611111111</v>
      </c>
      <c r="D21" s="2">
        <v>45677.864583333343</v>
      </c>
      <c r="E21">
        <v>0.98333333333333328</v>
      </c>
      <c r="F21">
        <v>10</v>
      </c>
      <c r="G21" t="b">
        <v>0</v>
      </c>
      <c r="H21" s="2">
        <v>45677</v>
      </c>
      <c r="I21">
        <v>19</v>
      </c>
      <c r="J21" t="s">
        <v>54</v>
      </c>
      <c r="K21">
        <v>0</v>
      </c>
      <c r="L21" t="s">
        <v>42</v>
      </c>
      <c r="M21">
        <v>0.98333333333333328</v>
      </c>
      <c r="N21" t="s">
        <v>36</v>
      </c>
      <c r="O21">
        <v>60</v>
      </c>
      <c r="P21" t="s">
        <v>37</v>
      </c>
      <c r="Q21">
        <v>0</v>
      </c>
      <c r="R21">
        <v>0</v>
      </c>
      <c r="S21">
        <v>1</v>
      </c>
      <c r="T21">
        <v>30.9</v>
      </c>
      <c r="U21">
        <v>10</v>
      </c>
      <c r="V21" t="s">
        <v>38</v>
      </c>
      <c r="W21">
        <v>0</v>
      </c>
      <c r="X21" t="s">
        <v>59</v>
      </c>
    </row>
    <row r="22" spans="1:24" x14ac:dyDescent="0.3">
      <c r="A22" t="s">
        <v>74</v>
      </c>
      <c r="B22" t="s">
        <v>25</v>
      </c>
      <c r="C22" s="2">
        <v>45678.933333333327</v>
      </c>
      <c r="D22" s="2">
        <v>45679.032638888893</v>
      </c>
      <c r="E22">
        <v>2.3833333333333329</v>
      </c>
      <c r="F22">
        <v>37.68</v>
      </c>
      <c r="G22" t="b">
        <v>0</v>
      </c>
      <c r="H22" s="2">
        <v>45678</v>
      </c>
      <c r="I22">
        <v>22</v>
      </c>
      <c r="J22" t="s">
        <v>56</v>
      </c>
      <c r="K22">
        <v>0</v>
      </c>
      <c r="L22" t="s">
        <v>66</v>
      </c>
      <c r="M22">
        <v>2.3833333333333329</v>
      </c>
      <c r="N22" t="s">
        <v>28</v>
      </c>
      <c r="O22">
        <v>70</v>
      </c>
      <c r="P22" t="s">
        <v>29</v>
      </c>
      <c r="Q22">
        <v>0</v>
      </c>
      <c r="R22">
        <v>0</v>
      </c>
      <c r="S22">
        <v>0</v>
      </c>
      <c r="T22">
        <v>33.299999999999997</v>
      </c>
      <c r="U22">
        <v>37.68</v>
      </c>
      <c r="V22" t="s">
        <v>38</v>
      </c>
      <c r="W22">
        <v>0</v>
      </c>
      <c r="X22" t="s">
        <v>31</v>
      </c>
    </row>
    <row r="23" spans="1:24" x14ac:dyDescent="0.3">
      <c r="A23" t="s">
        <v>75</v>
      </c>
      <c r="B23" t="s">
        <v>33</v>
      </c>
      <c r="C23" s="2">
        <v>45679.919444444437</v>
      </c>
      <c r="D23" s="2">
        <v>45679.972916666673</v>
      </c>
      <c r="E23">
        <v>1.283333333333333</v>
      </c>
      <c r="F23">
        <v>32.67</v>
      </c>
      <c r="G23" t="b">
        <v>0</v>
      </c>
      <c r="H23" s="2">
        <v>45679</v>
      </c>
      <c r="I23">
        <v>22</v>
      </c>
      <c r="J23" t="s">
        <v>26</v>
      </c>
      <c r="K23">
        <v>0</v>
      </c>
      <c r="L23" t="s">
        <v>66</v>
      </c>
      <c r="M23">
        <v>1.283333333333333</v>
      </c>
      <c r="N23" t="s">
        <v>36</v>
      </c>
      <c r="O23">
        <v>60</v>
      </c>
      <c r="P23" t="s">
        <v>37</v>
      </c>
      <c r="Q23">
        <v>0</v>
      </c>
      <c r="R23">
        <v>0</v>
      </c>
      <c r="S23">
        <v>0</v>
      </c>
      <c r="T23">
        <v>33.5</v>
      </c>
      <c r="U23">
        <v>32.67</v>
      </c>
      <c r="V23" t="s">
        <v>38</v>
      </c>
      <c r="W23">
        <v>0</v>
      </c>
      <c r="X23" t="s">
        <v>31</v>
      </c>
    </row>
    <row r="24" spans="1:24" x14ac:dyDescent="0.3">
      <c r="A24" t="s">
        <v>76</v>
      </c>
      <c r="B24" t="s">
        <v>40</v>
      </c>
      <c r="C24" s="2">
        <v>45680.894444444442</v>
      </c>
      <c r="D24" s="2">
        <v>45680.978472222218</v>
      </c>
      <c r="E24">
        <v>2.0166666666666671</v>
      </c>
      <c r="F24">
        <v>38.659999999999997</v>
      </c>
      <c r="G24" t="b">
        <v>0</v>
      </c>
      <c r="H24" s="2">
        <v>45680</v>
      </c>
      <c r="I24">
        <v>21</v>
      </c>
      <c r="J24" t="s">
        <v>34</v>
      </c>
      <c r="K24">
        <v>0</v>
      </c>
      <c r="L24" t="s">
        <v>66</v>
      </c>
      <c r="M24">
        <v>2.0166666666666671</v>
      </c>
      <c r="N24" t="s">
        <v>43</v>
      </c>
      <c r="O24">
        <v>100</v>
      </c>
      <c r="P24" t="s">
        <v>44</v>
      </c>
      <c r="Q24">
        <v>0</v>
      </c>
      <c r="R24">
        <v>0</v>
      </c>
      <c r="S24">
        <v>0</v>
      </c>
      <c r="T24">
        <v>27.5</v>
      </c>
      <c r="U24">
        <v>38.659999999999997</v>
      </c>
      <c r="V24" t="s">
        <v>30</v>
      </c>
      <c r="W24">
        <v>0</v>
      </c>
      <c r="X24" t="s">
        <v>31</v>
      </c>
    </row>
    <row r="25" spans="1:24" x14ac:dyDescent="0.3">
      <c r="A25" t="s">
        <v>77</v>
      </c>
      <c r="B25" t="s">
        <v>33</v>
      </c>
      <c r="C25" s="2">
        <v>45681.286805555559</v>
      </c>
      <c r="D25" s="2">
        <v>45681.334722222222</v>
      </c>
      <c r="E25">
        <v>1.1499999999999999</v>
      </c>
      <c r="F25">
        <v>20.87</v>
      </c>
      <c r="G25" t="b">
        <v>0</v>
      </c>
      <c r="H25" s="2">
        <v>45681</v>
      </c>
      <c r="I25">
        <v>6</v>
      </c>
      <c r="J25" t="s">
        <v>41</v>
      </c>
      <c r="K25">
        <v>0</v>
      </c>
      <c r="L25" t="s">
        <v>35</v>
      </c>
      <c r="M25">
        <v>1.1499999999999999</v>
      </c>
      <c r="N25" t="s">
        <v>36</v>
      </c>
      <c r="O25">
        <v>60</v>
      </c>
      <c r="P25" t="s">
        <v>37</v>
      </c>
      <c r="Q25">
        <v>0</v>
      </c>
      <c r="R25">
        <v>0</v>
      </c>
      <c r="S25">
        <v>0</v>
      </c>
      <c r="T25">
        <v>30.1</v>
      </c>
      <c r="U25">
        <v>20.87</v>
      </c>
      <c r="V25" t="s">
        <v>30</v>
      </c>
      <c r="W25">
        <v>0</v>
      </c>
      <c r="X25" t="s">
        <v>31</v>
      </c>
    </row>
    <row r="26" spans="1:24" x14ac:dyDescent="0.3">
      <c r="A26" t="s">
        <v>78</v>
      </c>
      <c r="B26" t="s">
        <v>47</v>
      </c>
      <c r="C26" s="2">
        <v>45682.474999999999</v>
      </c>
      <c r="D26" s="2">
        <v>45682.629861111112</v>
      </c>
      <c r="E26">
        <v>3.7166666666666668</v>
      </c>
      <c r="F26">
        <v>49.76</v>
      </c>
      <c r="G26" t="b">
        <v>0</v>
      </c>
      <c r="H26" s="2">
        <v>45682</v>
      </c>
      <c r="I26">
        <v>11</v>
      </c>
      <c r="J26" t="s">
        <v>48</v>
      </c>
      <c r="K26">
        <v>1</v>
      </c>
      <c r="L26" t="s">
        <v>35</v>
      </c>
      <c r="M26">
        <v>3.7166666666666668</v>
      </c>
      <c r="N26" t="s">
        <v>49</v>
      </c>
      <c r="O26">
        <v>50</v>
      </c>
      <c r="P26" t="s">
        <v>50</v>
      </c>
      <c r="Q26">
        <v>1</v>
      </c>
      <c r="R26">
        <v>0</v>
      </c>
      <c r="S26">
        <v>0</v>
      </c>
      <c r="T26">
        <v>27.9</v>
      </c>
      <c r="U26">
        <v>49.76</v>
      </c>
      <c r="V26" t="s">
        <v>38</v>
      </c>
      <c r="W26">
        <v>0</v>
      </c>
      <c r="X26" t="s">
        <v>31</v>
      </c>
    </row>
    <row r="27" spans="1:24" x14ac:dyDescent="0.3">
      <c r="A27" t="s">
        <v>79</v>
      </c>
      <c r="B27" t="s">
        <v>25</v>
      </c>
      <c r="C27" s="2">
        <v>45683.279861111107</v>
      </c>
      <c r="D27" s="2">
        <v>45683.419444444437</v>
      </c>
      <c r="E27">
        <v>3.35</v>
      </c>
      <c r="F27">
        <v>62.01</v>
      </c>
      <c r="G27" t="b">
        <v>0</v>
      </c>
      <c r="H27" s="2">
        <v>45683</v>
      </c>
      <c r="I27">
        <v>6</v>
      </c>
      <c r="J27" t="s">
        <v>52</v>
      </c>
      <c r="K27">
        <v>1</v>
      </c>
      <c r="L27" t="s">
        <v>35</v>
      </c>
      <c r="M27">
        <v>3.35</v>
      </c>
      <c r="N27" t="s">
        <v>28</v>
      </c>
      <c r="O27">
        <v>70</v>
      </c>
      <c r="P27" t="s">
        <v>29</v>
      </c>
      <c r="Q27">
        <v>1</v>
      </c>
      <c r="R27">
        <v>1</v>
      </c>
      <c r="S27">
        <v>0</v>
      </c>
      <c r="T27">
        <v>29.3</v>
      </c>
      <c r="U27">
        <v>62.01</v>
      </c>
      <c r="V27" t="s">
        <v>30</v>
      </c>
      <c r="W27">
        <v>1</v>
      </c>
      <c r="X27" t="s">
        <v>31</v>
      </c>
    </row>
    <row r="28" spans="1:24" x14ac:dyDescent="0.3">
      <c r="A28" t="s">
        <v>80</v>
      </c>
      <c r="B28" t="s">
        <v>25</v>
      </c>
      <c r="C28" s="2">
        <v>45684.862500000003</v>
      </c>
      <c r="D28" s="2">
        <v>45684.997916666667</v>
      </c>
      <c r="E28">
        <v>3.25</v>
      </c>
      <c r="F28">
        <v>57.71</v>
      </c>
      <c r="G28" t="b">
        <v>0</v>
      </c>
      <c r="H28" s="2">
        <v>45684</v>
      </c>
      <c r="I28">
        <v>20</v>
      </c>
      <c r="J28" t="s">
        <v>54</v>
      </c>
      <c r="K28">
        <v>0</v>
      </c>
      <c r="L28" t="s">
        <v>42</v>
      </c>
      <c r="M28">
        <v>3.25</v>
      </c>
      <c r="N28" t="s">
        <v>28</v>
      </c>
      <c r="O28">
        <v>70</v>
      </c>
      <c r="P28" t="s">
        <v>29</v>
      </c>
      <c r="Q28">
        <v>0</v>
      </c>
      <c r="R28">
        <v>0</v>
      </c>
      <c r="S28">
        <v>0</v>
      </c>
      <c r="T28">
        <v>33.1</v>
      </c>
      <c r="U28">
        <v>57.71</v>
      </c>
      <c r="V28" t="s">
        <v>30</v>
      </c>
      <c r="W28">
        <v>0</v>
      </c>
      <c r="X28" t="s">
        <v>31</v>
      </c>
    </row>
    <row r="29" spans="1:24" x14ac:dyDescent="0.3">
      <c r="A29" t="s">
        <v>81</v>
      </c>
      <c r="B29" t="s">
        <v>61</v>
      </c>
      <c r="C29" s="2">
        <v>45685.734027777777</v>
      </c>
      <c r="D29" s="2">
        <v>45685.790277777778</v>
      </c>
      <c r="E29">
        <v>1.35</v>
      </c>
      <c r="F29">
        <v>31.59</v>
      </c>
      <c r="G29" t="b">
        <v>0</v>
      </c>
      <c r="H29" s="2">
        <v>45685</v>
      </c>
      <c r="I29">
        <v>17</v>
      </c>
      <c r="J29" t="s">
        <v>56</v>
      </c>
      <c r="K29">
        <v>0</v>
      </c>
      <c r="L29" t="s">
        <v>42</v>
      </c>
      <c r="M29">
        <v>1.35</v>
      </c>
      <c r="N29" t="s">
        <v>62</v>
      </c>
      <c r="O29">
        <v>80</v>
      </c>
      <c r="P29" t="s">
        <v>37</v>
      </c>
      <c r="Q29">
        <v>0</v>
      </c>
      <c r="R29">
        <v>0</v>
      </c>
      <c r="S29">
        <v>0</v>
      </c>
      <c r="T29">
        <v>29.4</v>
      </c>
      <c r="U29">
        <v>31.59</v>
      </c>
      <c r="V29" t="s">
        <v>38</v>
      </c>
      <c r="W29">
        <v>0</v>
      </c>
      <c r="X29" t="s">
        <v>31</v>
      </c>
    </row>
    <row r="30" spans="1:24" x14ac:dyDescent="0.3">
      <c r="A30" t="s">
        <v>82</v>
      </c>
      <c r="B30" t="s">
        <v>61</v>
      </c>
      <c r="C30" s="2">
        <v>45686.349305555559</v>
      </c>
      <c r="D30" s="2">
        <v>45686.37222222222</v>
      </c>
      <c r="E30">
        <v>0.55000000000000004</v>
      </c>
      <c r="F30">
        <v>12.3</v>
      </c>
      <c r="G30" t="b">
        <v>0</v>
      </c>
      <c r="H30" s="2">
        <v>45686</v>
      </c>
      <c r="I30">
        <v>8</v>
      </c>
      <c r="J30" t="s">
        <v>26</v>
      </c>
      <c r="K30">
        <v>0</v>
      </c>
      <c r="L30" t="s">
        <v>35</v>
      </c>
      <c r="M30">
        <v>0.55000000000000004</v>
      </c>
      <c r="N30" t="s">
        <v>62</v>
      </c>
      <c r="O30">
        <v>80</v>
      </c>
      <c r="P30" t="s">
        <v>37</v>
      </c>
      <c r="Q30">
        <v>0</v>
      </c>
      <c r="R30">
        <v>0</v>
      </c>
      <c r="S30">
        <v>1</v>
      </c>
      <c r="T30">
        <v>26.3</v>
      </c>
      <c r="U30">
        <v>12.3</v>
      </c>
      <c r="V30" t="s">
        <v>38</v>
      </c>
      <c r="W30">
        <v>0</v>
      </c>
      <c r="X30" t="s">
        <v>59</v>
      </c>
    </row>
    <row r="31" spans="1:24" x14ac:dyDescent="0.3">
      <c r="A31" t="s">
        <v>83</v>
      </c>
      <c r="B31" t="s">
        <v>61</v>
      </c>
      <c r="C31" s="2">
        <v>45687.749305555553</v>
      </c>
      <c r="D31" s="2">
        <v>45687.787499999999</v>
      </c>
      <c r="E31">
        <v>0.91666666666666663</v>
      </c>
      <c r="F31">
        <v>10.46</v>
      </c>
      <c r="G31" t="b">
        <v>0</v>
      </c>
      <c r="H31" s="2">
        <v>45687</v>
      </c>
      <c r="I31">
        <v>17</v>
      </c>
      <c r="J31" t="s">
        <v>34</v>
      </c>
      <c r="K31">
        <v>0</v>
      </c>
      <c r="L31" t="s">
        <v>42</v>
      </c>
      <c r="M31">
        <v>0.91666666666666663</v>
      </c>
      <c r="N31" t="s">
        <v>62</v>
      </c>
      <c r="O31">
        <v>80</v>
      </c>
      <c r="P31" t="s">
        <v>37</v>
      </c>
      <c r="Q31">
        <v>0</v>
      </c>
      <c r="R31">
        <v>0</v>
      </c>
      <c r="S31">
        <v>0</v>
      </c>
      <c r="T31">
        <v>29</v>
      </c>
      <c r="U31">
        <v>10.46</v>
      </c>
      <c r="V31" t="s">
        <v>30</v>
      </c>
      <c r="W31">
        <v>0</v>
      </c>
      <c r="X31" t="s">
        <v>31</v>
      </c>
    </row>
    <row r="32" spans="1:24" x14ac:dyDescent="0.3">
      <c r="A32" t="s">
        <v>84</v>
      </c>
      <c r="B32" t="s">
        <v>61</v>
      </c>
      <c r="C32" s="2">
        <v>45688.884722222218</v>
      </c>
      <c r="D32" s="2">
        <v>45689.056250000001</v>
      </c>
      <c r="E32">
        <v>4.1166666666666663</v>
      </c>
      <c r="F32">
        <v>70.27</v>
      </c>
      <c r="G32" t="b">
        <v>0</v>
      </c>
      <c r="H32" s="2">
        <v>45688</v>
      </c>
      <c r="I32">
        <v>21</v>
      </c>
      <c r="J32" t="s">
        <v>41</v>
      </c>
      <c r="K32">
        <v>0</v>
      </c>
      <c r="L32" t="s">
        <v>66</v>
      </c>
      <c r="M32">
        <v>4.1166666666666663</v>
      </c>
      <c r="N32" t="s">
        <v>62</v>
      </c>
      <c r="O32">
        <v>80</v>
      </c>
      <c r="P32" t="s">
        <v>37</v>
      </c>
      <c r="Q32">
        <v>0</v>
      </c>
      <c r="R32">
        <v>0</v>
      </c>
      <c r="S32">
        <v>0</v>
      </c>
      <c r="T32">
        <v>32.5</v>
      </c>
      <c r="U32">
        <v>70.27</v>
      </c>
      <c r="V32" t="s">
        <v>45</v>
      </c>
      <c r="W32">
        <v>0</v>
      </c>
      <c r="X32" t="s">
        <v>31</v>
      </c>
    </row>
    <row r="33" spans="1:24" x14ac:dyDescent="0.3">
      <c r="A33" t="s">
        <v>85</v>
      </c>
      <c r="B33" t="s">
        <v>40</v>
      </c>
      <c r="C33" s="2">
        <v>45689.258333333331</v>
      </c>
      <c r="D33" s="2">
        <v>45689.359027777777</v>
      </c>
      <c r="E33">
        <v>2.416666666666667</v>
      </c>
      <c r="F33">
        <v>36.26</v>
      </c>
      <c r="G33" t="b">
        <v>0</v>
      </c>
      <c r="H33" s="2">
        <v>45689</v>
      </c>
      <c r="I33">
        <v>6</v>
      </c>
      <c r="J33" t="s">
        <v>48</v>
      </c>
      <c r="K33">
        <v>1</v>
      </c>
      <c r="L33" t="s">
        <v>35</v>
      </c>
      <c r="M33">
        <v>2.416666666666667</v>
      </c>
      <c r="N33" t="s">
        <v>43</v>
      </c>
      <c r="O33">
        <v>100</v>
      </c>
      <c r="P33" t="s">
        <v>44</v>
      </c>
      <c r="Q33">
        <v>1</v>
      </c>
      <c r="R33">
        <v>0</v>
      </c>
      <c r="S33">
        <v>0</v>
      </c>
      <c r="T33">
        <v>25</v>
      </c>
      <c r="U33">
        <v>36.26</v>
      </c>
      <c r="V33" t="s">
        <v>30</v>
      </c>
      <c r="W33">
        <v>0</v>
      </c>
      <c r="X33" t="s">
        <v>31</v>
      </c>
    </row>
    <row r="34" spans="1:24" x14ac:dyDescent="0.3">
      <c r="A34" t="s">
        <v>86</v>
      </c>
      <c r="B34" t="s">
        <v>61</v>
      </c>
      <c r="C34" s="2">
        <v>46131.362500000003</v>
      </c>
      <c r="D34" s="2">
        <v>46131.380555555559</v>
      </c>
      <c r="E34">
        <v>0.43333333333333329</v>
      </c>
      <c r="F34">
        <v>12.57</v>
      </c>
      <c r="G34" t="b">
        <v>0</v>
      </c>
      <c r="H34" s="2">
        <v>46131</v>
      </c>
      <c r="I34">
        <v>8</v>
      </c>
      <c r="J34" t="s">
        <v>52</v>
      </c>
      <c r="K34">
        <v>1</v>
      </c>
      <c r="L34" t="s">
        <v>35</v>
      </c>
      <c r="M34">
        <v>0.43333333333333329</v>
      </c>
      <c r="N34" t="s">
        <v>62</v>
      </c>
      <c r="O34">
        <v>80</v>
      </c>
      <c r="P34" t="s">
        <v>37</v>
      </c>
      <c r="Q34">
        <v>1</v>
      </c>
      <c r="R34">
        <v>1</v>
      </c>
      <c r="S34">
        <v>0</v>
      </c>
      <c r="T34">
        <v>29.8</v>
      </c>
      <c r="U34">
        <v>12.57</v>
      </c>
      <c r="V34" t="s">
        <v>38</v>
      </c>
      <c r="W34">
        <v>1</v>
      </c>
      <c r="X34" t="s">
        <v>31</v>
      </c>
    </row>
    <row r="35" spans="1:24" x14ac:dyDescent="0.3">
      <c r="A35" t="s">
        <v>87</v>
      </c>
      <c r="B35" t="s">
        <v>40</v>
      </c>
      <c r="C35" s="2">
        <v>45691.781944444447</v>
      </c>
      <c r="D35" s="2">
        <v>45691.829861111109</v>
      </c>
      <c r="E35">
        <v>1.1499999999999999</v>
      </c>
      <c r="F35">
        <v>20.059999999999999</v>
      </c>
      <c r="G35" t="b">
        <v>0</v>
      </c>
      <c r="H35" s="2">
        <v>45691</v>
      </c>
      <c r="I35">
        <v>18</v>
      </c>
      <c r="J35" t="s">
        <v>54</v>
      </c>
      <c r="K35">
        <v>0</v>
      </c>
      <c r="L35" t="s">
        <v>42</v>
      </c>
      <c r="M35">
        <v>1.1499999999999999</v>
      </c>
      <c r="N35" t="s">
        <v>43</v>
      </c>
      <c r="O35">
        <v>100</v>
      </c>
      <c r="P35" t="s">
        <v>44</v>
      </c>
      <c r="Q35">
        <v>0</v>
      </c>
      <c r="R35">
        <v>0</v>
      </c>
      <c r="S35">
        <v>0</v>
      </c>
      <c r="T35">
        <v>28.1</v>
      </c>
      <c r="U35">
        <v>20.059999999999999</v>
      </c>
      <c r="V35" t="s">
        <v>38</v>
      </c>
      <c r="W35">
        <v>0</v>
      </c>
      <c r="X35" t="s">
        <v>31</v>
      </c>
    </row>
    <row r="36" spans="1:24" x14ac:dyDescent="0.3">
      <c r="A36" t="s">
        <v>88</v>
      </c>
      <c r="B36" t="s">
        <v>61</v>
      </c>
      <c r="C36" s="2">
        <v>45692.285416666673</v>
      </c>
      <c r="D36" s="2">
        <v>45692.449305555558</v>
      </c>
      <c r="E36">
        <v>3.9333333333333331</v>
      </c>
      <c r="F36">
        <v>51.14</v>
      </c>
      <c r="G36" t="b">
        <v>0</v>
      </c>
      <c r="H36" s="2">
        <v>45692</v>
      </c>
      <c r="I36">
        <v>6</v>
      </c>
      <c r="J36" t="s">
        <v>56</v>
      </c>
      <c r="K36">
        <v>0</v>
      </c>
      <c r="L36" t="s">
        <v>35</v>
      </c>
      <c r="M36">
        <v>3.9333333333333331</v>
      </c>
      <c r="N36" t="s">
        <v>62</v>
      </c>
      <c r="O36">
        <v>80</v>
      </c>
      <c r="P36" t="s">
        <v>37</v>
      </c>
      <c r="Q36">
        <v>0</v>
      </c>
      <c r="R36">
        <v>0</v>
      </c>
      <c r="S36">
        <v>0</v>
      </c>
      <c r="T36">
        <v>32.799999999999997</v>
      </c>
      <c r="U36">
        <v>51.14</v>
      </c>
      <c r="V36" t="s">
        <v>30</v>
      </c>
      <c r="W36">
        <v>0</v>
      </c>
      <c r="X36" t="s">
        <v>31</v>
      </c>
    </row>
    <row r="37" spans="1:24" x14ac:dyDescent="0.3">
      <c r="A37" t="s">
        <v>89</v>
      </c>
      <c r="B37" t="s">
        <v>33</v>
      </c>
      <c r="C37" s="2">
        <v>45693.430555555547</v>
      </c>
      <c r="D37" s="2">
        <v>45693.461805555547</v>
      </c>
      <c r="E37">
        <v>0.75</v>
      </c>
      <c r="F37">
        <v>10</v>
      </c>
      <c r="G37" t="b">
        <v>0</v>
      </c>
      <c r="H37" s="2">
        <v>45693</v>
      </c>
      <c r="I37">
        <v>10</v>
      </c>
      <c r="J37" t="s">
        <v>26</v>
      </c>
      <c r="K37">
        <v>0</v>
      </c>
      <c r="L37" t="s">
        <v>35</v>
      </c>
      <c r="M37">
        <v>0.75</v>
      </c>
      <c r="N37" t="s">
        <v>36</v>
      </c>
      <c r="O37">
        <v>60</v>
      </c>
      <c r="P37" t="s">
        <v>37</v>
      </c>
      <c r="Q37">
        <v>0</v>
      </c>
      <c r="R37">
        <v>0</v>
      </c>
      <c r="S37">
        <v>0</v>
      </c>
      <c r="T37">
        <v>32.299999999999997</v>
      </c>
      <c r="U37">
        <v>10</v>
      </c>
      <c r="V37" t="s">
        <v>45</v>
      </c>
      <c r="W37">
        <v>0</v>
      </c>
      <c r="X37" t="s">
        <v>31</v>
      </c>
    </row>
    <row r="38" spans="1:24" x14ac:dyDescent="0.3">
      <c r="A38" t="s">
        <v>90</v>
      </c>
      <c r="B38" t="s">
        <v>40</v>
      </c>
      <c r="C38" s="2">
        <v>45694.739583333343</v>
      </c>
      <c r="D38" s="2">
        <v>45694.865972222222</v>
      </c>
      <c r="E38">
        <v>3.0333333333333332</v>
      </c>
      <c r="F38">
        <v>56.98</v>
      </c>
      <c r="G38" t="b">
        <v>0</v>
      </c>
      <c r="H38" s="2">
        <v>45694</v>
      </c>
      <c r="I38">
        <v>17</v>
      </c>
      <c r="J38" t="s">
        <v>34</v>
      </c>
      <c r="K38">
        <v>0</v>
      </c>
      <c r="L38" t="s">
        <v>42</v>
      </c>
      <c r="M38">
        <v>3.0333333333333332</v>
      </c>
      <c r="N38" t="s">
        <v>43</v>
      </c>
      <c r="O38">
        <v>100</v>
      </c>
      <c r="P38" t="s">
        <v>44</v>
      </c>
      <c r="Q38">
        <v>0</v>
      </c>
      <c r="R38">
        <v>0</v>
      </c>
      <c r="S38">
        <v>0</v>
      </c>
      <c r="T38">
        <v>27</v>
      </c>
      <c r="U38">
        <v>56.98</v>
      </c>
      <c r="V38" t="s">
        <v>38</v>
      </c>
      <c r="W38">
        <v>0</v>
      </c>
      <c r="X38" t="s">
        <v>31</v>
      </c>
    </row>
    <row r="39" spans="1:24" x14ac:dyDescent="0.3">
      <c r="A39" t="s">
        <v>91</v>
      </c>
      <c r="B39" t="s">
        <v>33</v>
      </c>
      <c r="C39" s="2">
        <v>45695.36041666667</v>
      </c>
      <c r="D39" s="2">
        <v>45695.586111111108</v>
      </c>
      <c r="E39">
        <v>5.416666666666667</v>
      </c>
      <c r="F39">
        <v>85.54</v>
      </c>
      <c r="G39" t="b">
        <v>0</v>
      </c>
      <c r="H39" s="2">
        <v>45695</v>
      </c>
      <c r="I39">
        <v>8</v>
      </c>
      <c r="J39" t="s">
        <v>41</v>
      </c>
      <c r="K39">
        <v>0</v>
      </c>
      <c r="L39" t="s">
        <v>35</v>
      </c>
      <c r="M39">
        <v>5.416666666666667</v>
      </c>
      <c r="N39" t="s">
        <v>36</v>
      </c>
      <c r="O39">
        <v>60</v>
      </c>
      <c r="P39" t="s">
        <v>37</v>
      </c>
      <c r="Q39">
        <v>0</v>
      </c>
      <c r="R39">
        <v>0</v>
      </c>
      <c r="S39">
        <v>0</v>
      </c>
      <c r="T39">
        <v>36.1</v>
      </c>
      <c r="U39">
        <v>85.54</v>
      </c>
      <c r="V39" t="s">
        <v>38</v>
      </c>
      <c r="W39">
        <v>0</v>
      </c>
      <c r="X39" t="s">
        <v>31</v>
      </c>
    </row>
    <row r="40" spans="1:24" x14ac:dyDescent="0.3">
      <c r="A40" t="s">
        <v>92</v>
      </c>
      <c r="B40" t="s">
        <v>33</v>
      </c>
      <c r="C40" s="2">
        <v>45696.748611111107</v>
      </c>
      <c r="D40" s="2">
        <v>45696.787499999999</v>
      </c>
      <c r="E40">
        <v>0.93333333333333335</v>
      </c>
      <c r="F40">
        <v>13.02</v>
      </c>
      <c r="G40" t="b">
        <v>0</v>
      </c>
      <c r="H40" s="2">
        <v>45696</v>
      </c>
      <c r="I40">
        <v>17</v>
      </c>
      <c r="J40" t="s">
        <v>48</v>
      </c>
      <c r="K40">
        <v>1</v>
      </c>
      <c r="L40" t="s">
        <v>42</v>
      </c>
      <c r="M40">
        <v>0.93333333333333335</v>
      </c>
      <c r="N40" t="s">
        <v>36</v>
      </c>
      <c r="O40">
        <v>60</v>
      </c>
      <c r="P40" t="s">
        <v>37</v>
      </c>
      <c r="Q40">
        <v>1</v>
      </c>
      <c r="R40">
        <v>0</v>
      </c>
      <c r="S40">
        <v>0</v>
      </c>
      <c r="T40">
        <v>27.4</v>
      </c>
      <c r="U40">
        <v>13.02</v>
      </c>
      <c r="V40" t="s">
        <v>30</v>
      </c>
      <c r="W40">
        <v>0</v>
      </c>
      <c r="X40" t="s">
        <v>31</v>
      </c>
    </row>
    <row r="41" spans="1:24" x14ac:dyDescent="0.3">
      <c r="A41" t="s">
        <v>93</v>
      </c>
      <c r="B41" t="s">
        <v>61</v>
      </c>
      <c r="C41" s="2">
        <v>45697.935416666667</v>
      </c>
      <c r="D41" s="2">
        <v>45698.213888888888</v>
      </c>
      <c r="E41">
        <v>6.6833333333333336</v>
      </c>
      <c r="F41">
        <v>98.71</v>
      </c>
      <c r="G41" t="b">
        <v>0</v>
      </c>
      <c r="H41" s="2">
        <v>45697</v>
      </c>
      <c r="I41">
        <v>22</v>
      </c>
      <c r="J41" t="s">
        <v>52</v>
      </c>
      <c r="K41">
        <v>1</v>
      </c>
      <c r="L41" t="s">
        <v>66</v>
      </c>
      <c r="M41">
        <v>6.6833333333333336</v>
      </c>
      <c r="N41" t="s">
        <v>62</v>
      </c>
      <c r="O41">
        <v>80</v>
      </c>
      <c r="P41" t="s">
        <v>37</v>
      </c>
      <c r="Q41">
        <v>1</v>
      </c>
      <c r="R41">
        <v>0</v>
      </c>
      <c r="S41">
        <v>0</v>
      </c>
      <c r="T41">
        <v>26.9</v>
      </c>
      <c r="U41">
        <v>98.71</v>
      </c>
      <c r="V41" t="s">
        <v>38</v>
      </c>
      <c r="W41">
        <v>0</v>
      </c>
      <c r="X41" t="s">
        <v>31</v>
      </c>
    </row>
    <row r="42" spans="1:24" x14ac:dyDescent="0.3">
      <c r="A42" t="s">
        <v>94</v>
      </c>
      <c r="B42" t="s">
        <v>47</v>
      </c>
      <c r="C42" s="2">
        <v>45812.572222222218</v>
      </c>
      <c r="D42" s="2">
        <v>45812.652777777781</v>
      </c>
      <c r="E42">
        <v>1.9333333333333329</v>
      </c>
      <c r="F42">
        <v>34</v>
      </c>
      <c r="G42" t="b">
        <v>0</v>
      </c>
      <c r="H42" s="2">
        <v>45812</v>
      </c>
      <c r="I42">
        <v>13</v>
      </c>
      <c r="J42" t="s">
        <v>26</v>
      </c>
      <c r="K42">
        <v>0</v>
      </c>
      <c r="L42" t="s">
        <v>27</v>
      </c>
      <c r="M42">
        <v>1.9333333333333329</v>
      </c>
      <c r="N42" t="s">
        <v>49</v>
      </c>
      <c r="O42">
        <v>50</v>
      </c>
      <c r="P42" t="s">
        <v>50</v>
      </c>
      <c r="Q42">
        <v>0</v>
      </c>
      <c r="R42">
        <v>0</v>
      </c>
      <c r="S42">
        <v>0</v>
      </c>
      <c r="T42">
        <v>28.6</v>
      </c>
      <c r="U42">
        <v>34</v>
      </c>
      <c r="V42" t="s">
        <v>38</v>
      </c>
      <c r="W42">
        <v>0</v>
      </c>
      <c r="X42" t="s">
        <v>31</v>
      </c>
    </row>
    <row r="43" spans="1:24" x14ac:dyDescent="0.3">
      <c r="A43" t="s">
        <v>95</v>
      </c>
      <c r="B43" t="s">
        <v>47</v>
      </c>
      <c r="C43" s="2">
        <v>45699.565972222219</v>
      </c>
      <c r="D43" s="2">
        <v>45699.647222222222</v>
      </c>
      <c r="E43">
        <v>1.95</v>
      </c>
      <c r="F43">
        <v>28.45</v>
      </c>
      <c r="G43" t="b">
        <v>0</v>
      </c>
      <c r="H43" s="2">
        <v>45699</v>
      </c>
      <c r="I43">
        <v>13</v>
      </c>
      <c r="J43" t="s">
        <v>56</v>
      </c>
      <c r="K43">
        <v>0</v>
      </c>
      <c r="L43" t="s">
        <v>27</v>
      </c>
      <c r="M43">
        <v>1.95</v>
      </c>
      <c r="N43" t="s">
        <v>49</v>
      </c>
      <c r="O43">
        <v>50</v>
      </c>
      <c r="P43" t="s">
        <v>50</v>
      </c>
      <c r="Q43">
        <v>0</v>
      </c>
      <c r="R43">
        <v>0</v>
      </c>
      <c r="S43">
        <v>1</v>
      </c>
      <c r="T43">
        <v>29.1</v>
      </c>
      <c r="U43">
        <v>28.45</v>
      </c>
      <c r="V43" t="s">
        <v>30</v>
      </c>
      <c r="W43">
        <v>0</v>
      </c>
      <c r="X43" t="s">
        <v>59</v>
      </c>
    </row>
    <row r="44" spans="1:24" x14ac:dyDescent="0.3">
      <c r="A44" t="s">
        <v>96</v>
      </c>
      <c r="B44" t="s">
        <v>47</v>
      </c>
      <c r="C44" s="2">
        <v>45700.936805555553</v>
      </c>
      <c r="D44" s="2">
        <v>45701.021527777782</v>
      </c>
      <c r="E44">
        <v>2.0333333333333332</v>
      </c>
      <c r="F44">
        <v>43.31</v>
      </c>
      <c r="G44" t="b">
        <v>0</v>
      </c>
      <c r="H44" s="2">
        <v>45700</v>
      </c>
      <c r="I44">
        <v>22</v>
      </c>
      <c r="J44" t="s">
        <v>26</v>
      </c>
      <c r="K44">
        <v>0</v>
      </c>
      <c r="L44" t="s">
        <v>66</v>
      </c>
      <c r="M44">
        <v>2.0333333333333332</v>
      </c>
      <c r="N44" t="s">
        <v>49</v>
      </c>
      <c r="O44">
        <v>50</v>
      </c>
      <c r="P44" t="s">
        <v>50</v>
      </c>
      <c r="Q44">
        <v>0</v>
      </c>
      <c r="R44">
        <v>0</v>
      </c>
      <c r="S44">
        <v>0</v>
      </c>
      <c r="T44">
        <v>32.799999999999997</v>
      </c>
      <c r="U44">
        <v>43.31</v>
      </c>
      <c r="V44" t="s">
        <v>38</v>
      </c>
      <c r="W44">
        <v>0</v>
      </c>
      <c r="X44" t="s">
        <v>31</v>
      </c>
    </row>
    <row r="45" spans="1:24" x14ac:dyDescent="0.3">
      <c r="A45" t="s">
        <v>97</v>
      </c>
      <c r="B45" t="s">
        <v>61</v>
      </c>
      <c r="C45" s="2">
        <v>45701.905555555553</v>
      </c>
      <c r="D45" s="2">
        <v>45702.041666666657</v>
      </c>
      <c r="E45">
        <v>3.2666666666666671</v>
      </c>
      <c r="F45">
        <v>50.66</v>
      </c>
      <c r="G45" t="b">
        <v>0</v>
      </c>
      <c r="H45" s="2">
        <v>45701</v>
      </c>
      <c r="I45">
        <v>21</v>
      </c>
      <c r="J45" t="s">
        <v>34</v>
      </c>
      <c r="K45">
        <v>0</v>
      </c>
      <c r="L45" t="s">
        <v>66</v>
      </c>
      <c r="M45">
        <v>3.2666666666666671</v>
      </c>
      <c r="N45" t="s">
        <v>62</v>
      </c>
      <c r="O45">
        <v>80</v>
      </c>
      <c r="P45" t="s">
        <v>37</v>
      </c>
      <c r="Q45">
        <v>0</v>
      </c>
      <c r="R45">
        <v>0</v>
      </c>
      <c r="S45">
        <v>1</v>
      </c>
      <c r="T45">
        <v>26.6</v>
      </c>
      <c r="U45">
        <v>50.66</v>
      </c>
      <c r="V45" t="s">
        <v>30</v>
      </c>
      <c r="W45">
        <v>0</v>
      </c>
      <c r="X45" t="s">
        <v>59</v>
      </c>
    </row>
    <row r="46" spans="1:24" x14ac:dyDescent="0.3">
      <c r="A46" t="s">
        <v>98</v>
      </c>
      <c r="B46" t="s">
        <v>47</v>
      </c>
      <c r="C46" s="2">
        <v>45702.373611111107</v>
      </c>
      <c r="D46" s="2">
        <v>45702.466666666667</v>
      </c>
      <c r="E46">
        <v>2.2333333333333329</v>
      </c>
      <c r="F46">
        <v>42.58</v>
      </c>
      <c r="G46" t="b">
        <v>0</v>
      </c>
      <c r="H46" s="2">
        <v>45702</v>
      </c>
      <c r="I46">
        <v>8</v>
      </c>
      <c r="J46" t="s">
        <v>41</v>
      </c>
      <c r="K46">
        <v>0</v>
      </c>
      <c r="L46" t="s">
        <v>35</v>
      </c>
      <c r="M46">
        <v>2.2333333333333329</v>
      </c>
      <c r="N46" t="s">
        <v>49</v>
      </c>
      <c r="O46">
        <v>50</v>
      </c>
      <c r="P46" t="s">
        <v>50</v>
      </c>
      <c r="Q46">
        <v>0</v>
      </c>
      <c r="R46">
        <v>0</v>
      </c>
      <c r="S46">
        <v>0</v>
      </c>
      <c r="T46">
        <v>31.5</v>
      </c>
      <c r="U46">
        <v>42.58</v>
      </c>
      <c r="V46" t="s">
        <v>38</v>
      </c>
      <c r="W46">
        <v>0</v>
      </c>
      <c r="X46" t="s">
        <v>31</v>
      </c>
    </row>
    <row r="47" spans="1:24" x14ac:dyDescent="0.3">
      <c r="A47" t="s">
        <v>99</v>
      </c>
      <c r="B47" t="s">
        <v>40</v>
      </c>
      <c r="C47" s="2">
        <v>45703.649305555547</v>
      </c>
      <c r="F47">
        <v>17.059999999999999</v>
      </c>
      <c r="G47" t="b">
        <v>1</v>
      </c>
      <c r="H47" s="2">
        <v>45703</v>
      </c>
      <c r="I47">
        <v>15</v>
      </c>
      <c r="J47" t="s">
        <v>48</v>
      </c>
      <c r="K47">
        <v>1</v>
      </c>
      <c r="L47" t="s">
        <v>27</v>
      </c>
      <c r="N47" t="s">
        <v>43</v>
      </c>
      <c r="O47">
        <v>100</v>
      </c>
      <c r="P47" t="s">
        <v>44</v>
      </c>
      <c r="Q47">
        <v>1</v>
      </c>
      <c r="R47">
        <v>0</v>
      </c>
      <c r="S47">
        <v>0</v>
      </c>
      <c r="T47">
        <v>24.6</v>
      </c>
      <c r="U47">
        <v>17.059999999999999</v>
      </c>
      <c r="V47" t="s">
        <v>38</v>
      </c>
      <c r="W47">
        <v>0</v>
      </c>
      <c r="X47" t="s">
        <v>31</v>
      </c>
    </row>
    <row r="48" spans="1:24" x14ac:dyDescent="0.3">
      <c r="A48" t="s">
        <v>100</v>
      </c>
      <c r="B48" t="s">
        <v>61</v>
      </c>
      <c r="C48" s="2">
        <v>45704.397222222222</v>
      </c>
      <c r="D48" s="2">
        <v>45704.445833333331</v>
      </c>
      <c r="E48">
        <v>1.166666666666667</v>
      </c>
      <c r="F48">
        <v>26.32</v>
      </c>
      <c r="G48" t="b">
        <v>0</v>
      </c>
      <c r="H48" s="2">
        <v>45704</v>
      </c>
      <c r="I48">
        <v>9</v>
      </c>
      <c r="J48" t="s">
        <v>52</v>
      </c>
      <c r="K48">
        <v>1</v>
      </c>
      <c r="L48" t="s">
        <v>35</v>
      </c>
      <c r="M48">
        <v>1.166666666666667</v>
      </c>
      <c r="N48" t="s">
        <v>62</v>
      </c>
      <c r="O48">
        <v>80</v>
      </c>
      <c r="P48" t="s">
        <v>37</v>
      </c>
      <c r="Q48">
        <v>1</v>
      </c>
      <c r="R48">
        <v>0</v>
      </c>
      <c r="S48">
        <v>0</v>
      </c>
      <c r="T48">
        <v>29.8</v>
      </c>
      <c r="U48">
        <v>26.32</v>
      </c>
      <c r="V48" t="s">
        <v>38</v>
      </c>
      <c r="W48">
        <v>0</v>
      </c>
      <c r="X48" t="s">
        <v>31</v>
      </c>
    </row>
    <row r="49" spans="1:24" x14ac:dyDescent="0.3">
      <c r="A49" t="s">
        <v>101</v>
      </c>
      <c r="B49" t="s">
        <v>33</v>
      </c>
      <c r="C49" s="2">
        <v>45705.758333333331</v>
      </c>
      <c r="D49" s="2">
        <v>45705.847222222219</v>
      </c>
      <c r="E49">
        <v>2.1333333333333329</v>
      </c>
      <c r="F49">
        <v>41.53</v>
      </c>
      <c r="G49" t="b">
        <v>0</v>
      </c>
      <c r="H49" s="2">
        <v>45705</v>
      </c>
      <c r="I49">
        <v>18</v>
      </c>
      <c r="J49" t="s">
        <v>54</v>
      </c>
      <c r="K49">
        <v>0</v>
      </c>
      <c r="L49" t="s">
        <v>42</v>
      </c>
      <c r="M49">
        <v>2.1333333333333329</v>
      </c>
      <c r="N49" t="s">
        <v>36</v>
      </c>
      <c r="O49">
        <v>60</v>
      </c>
      <c r="P49" t="s">
        <v>37</v>
      </c>
      <c r="Q49">
        <v>0</v>
      </c>
      <c r="R49">
        <v>0</v>
      </c>
      <c r="S49">
        <v>1</v>
      </c>
      <c r="T49">
        <v>34.200000000000003</v>
      </c>
      <c r="U49">
        <v>41.53</v>
      </c>
      <c r="V49" t="s">
        <v>45</v>
      </c>
      <c r="W49">
        <v>0</v>
      </c>
      <c r="X49" t="s">
        <v>59</v>
      </c>
    </row>
    <row r="50" spans="1:24" x14ac:dyDescent="0.3">
      <c r="A50" t="s">
        <v>102</v>
      </c>
      <c r="B50" t="s">
        <v>61</v>
      </c>
      <c r="C50" s="2">
        <v>45706.461805555547</v>
      </c>
      <c r="D50" s="2">
        <v>45706.503472222219</v>
      </c>
      <c r="E50">
        <v>1</v>
      </c>
      <c r="F50">
        <v>31.68</v>
      </c>
      <c r="G50" t="b">
        <v>0</v>
      </c>
      <c r="H50" s="2">
        <v>45706</v>
      </c>
      <c r="I50">
        <v>11</v>
      </c>
      <c r="J50" t="s">
        <v>56</v>
      </c>
      <c r="K50">
        <v>0</v>
      </c>
      <c r="L50" t="s">
        <v>35</v>
      </c>
      <c r="M50">
        <v>1</v>
      </c>
      <c r="N50" t="s">
        <v>62</v>
      </c>
      <c r="O50">
        <v>80</v>
      </c>
      <c r="P50" t="s">
        <v>37</v>
      </c>
      <c r="Q50">
        <v>0</v>
      </c>
      <c r="R50">
        <v>0</v>
      </c>
      <c r="S50">
        <v>1</v>
      </c>
      <c r="T50">
        <v>35</v>
      </c>
      <c r="U50">
        <v>31.68</v>
      </c>
      <c r="V50" t="s">
        <v>38</v>
      </c>
      <c r="W50">
        <v>0</v>
      </c>
      <c r="X50" t="s">
        <v>59</v>
      </c>
    </row>
    <row r="51" spans="1:24" x14ac:dyDescent="0.3">
      <c r="A51" t="s">
        <v>103</v>
      </c>
      <c r="B51" t="s">
        <v>40</v>
      </c>
      <c r="C51" s="2">
        <v>45707.859027777777</v>
      </c>
      <c r="D51" s="2">
        <v>45707.994444444441</v>
      </c>
      <c r="E51">
        <v>3.25</v>
      </c>
      <c r="F51">
        <v>53.56</v>
      </c>
      <c r="G51" t="b">
        <v>0</v>
      </c>
      <c r="H51" s="2">
        <v>45707</v>
      </c>
      <c r="I51">
        <v>20</v>
      </c>
      <c r="J51" t="s">
        <v>26</v>
      </c>
      <c r="K51">
        <v>0</v>
      </c>
      <c r="L51" t="s">
        <v>42</v>
      </c>
      <c r="M51">
        <v>3.25</v>
      </c>
      <c r="N51" t="s">
        <v>43</v>
      </c>
      <c r="O51">
        <v>100</v>
      </c>
      <c r="P51" t="s">
        <v>44</v>
      </c>
      <c r="Q51">
        <v>0</v>
      </c>
      <c r="R51">
        <v>0</v>
      </c>
      <c r="S51">
        <v>0</v>
      </c>
      <c r="T51">
        <v>31.4</v>
      </c>
      <c r="U51">
        <v>53.56</v>
      </c>
      <c r="V51" t="s">
        <v>38</v>
      </c>
      <c r="W51">
        <v>0</v>
      </c>
      <c r="X51" t="s">
        <v>31</v>
      </c>
    </row>
    <row r="52" spans="1:24" x14ac:dyDescent="0.3">
      <c r="A52" t="s">
        <v>104</v>
      </c>
      <c r="B52" t="s">
        <v>47</v>
      </c>
      <c r="C52" s="2">
        <v>45708.751388888893</v>
      </c>
      <c r="D52" s="2">
        <v>45708.817361111112</v>
      </c>
      <c r="E52">
        <v>1.583333333333333</v>
      </c>
      <c r="F52">
        <v>22.38</v>
      </c>
      <c r="G52" t="b">
        <v>0</v>
      </c>
      <c r="H52" s="2">
        <v>45708</v>
      </c>
      <c r="I52">
        <v>18</v>
      </c>
      <c r="J52" t="s">
        <v>34</v>
      </c>
      <c r="K52">
        <v>0</v>
      </c>
      <c r="L52" t="s">
        <v>42</v>
      </c>
      <c r="M52">
        <v>1.583333333333333</v>
      </c>
      <c r="N52" t="s">
        <v>49</v>
      </c>
      <c r="O52">
        <v>50</v>
      </c>
      <c r="P52" t="s">
        <v>50</v>
      </c>
      <c r="Q52">
        <v>0</v>
      </c>
      <c r="R52">
        <v>0</v>
      </c>
      <c r="S52">
        <v>0</v>
      </c>
      <c r="T52">
        <v>24.4</v>
      </c>
      <c r="U52">
        <v>22.38</v>
      </c>
      <c r="V52" t="s">
        <v>38</v>
      </c>
      <c r="W52">
        <v>0</v>
      </c>
      <c r="X52" t="s">
        <v>31</v>
      </c>
    </row>
    <row r="53" spans="1:24" x14ac:dyDescent="0.3">
      <c r="A53" t="s">
        <v>105</v>
      </c>
      <c r="B53" t="s">
        <v>40</v>
      </c>
      <c r="C53" s="2">
        <v>45709.29583333333</v>
      </c>
      <c r="D53" s="2">
        <v>45709.345833333333</v>
      </c>
      <c r="E53">
        <v>1.2</v>
      </c>
      <c r="F53">
        <v>21.7</v>
      </c>
      <c r="G53" t="b">
        <v>0</v>
      </c>
      <c r="H53" s="2">
        <v>45709</v>
      </c>
      <c r="I53">
        <v>7</v>
      </c>
      <c r="J53" t="s">
        <v>41</v>
      </c>
      <c r="K53">
        <v>0</v>
      </c>
      <c r="L53" t="s">
        <v>35</v>
      </c>
      <c r="M53">
        <v>1.2</v>
      </c>
      <c r="N53" t="s">
        <v>43</v>
      </c>
      <c r="O53">
        <v>100</v>
      </c>
      <c r="P53" t="s">
        <v>44</v>
      </c>
      <c r="Q53">
        <v>0</v>
      </c>
      <c r="R53">
        <v>0</v>
      </c>
      <c r="S53">
        <v>0</v>
      </c>
      <c r="T53">
        <v>36.799999999999997</v>
      </c>
      <c r="U53">
        <v>21.7</v>
      </c>
      <c r="V53" t="s">
        <v>45</v>
      </c>
      <c r="W53">
        <v>0</v>
      </c>
      <c r="X53" t="s">
        <v>31</v>
      </c>
    </row>
    <row r="54" spans="1:24" x14ac:dyDescent="0.3">
      <c r="A54" t="s">
        <v>106</v>
      </c>
      <c r="B54" t="s">
        <v>33</v>
      </c>
      <c r="C54" s="2">
        <v>45710.362500000003</v>
      </c>
      <c r="D54" s="2">
        <v>45710.449305555558</v>
      </c>
      <c r="E54">
        <v>2.083333333333333</v>
      </c>
      <c r="F54">
        <v>37.68</v>
      </c>
      <c r="G54" t="b">
        <v>0</v>
      </c>
      <c r="H54" s="2">
        <v>45710</v>
      </c>
      <c r="I54">
        <v>8</v>
      </c>
      <c r="J54" t="s">
        <v>48</v>
      </c>
      <c r="K54">
        <v>1</v>
      </c>
      <c r="L54" t="s">
        <v>35</v>
      </c>
      <c r="M54">
        <v>2.083333333333333</v>
      </c>
      <c r="N54" t="s">
        <v>36</v>
      </c>
      <c r="O54">
        <v>60</v>
      </c>
      <c r="P54" t="s">
        <v>37</v>
      </c>
      <c r="Q54">
        <v>1</v>
      </c>
      <c r="R54">
        <v>0</v>
      </c>
      <c r="S54">
        <v>0</v>
      </c>
      <c r="T54">
        <v>29.9</v>
      </c>
      <c r="U54">
        <v>37.68</v>
      </c>
      <c r="V54" t="s">
        <v>30</v>
      </c>
      <c r="W54">
        <v>0</v>
      </c>
      <c r="X54" t="s">
        <v>31</v>
      </c>
    </row>
    <row r="55" spans="1:24" x14ac:dyDescent="0.3">
      <c r="A55" t="s">
        <v>107</v>
      </c>
      <c r="B55" t="s">
        <v>40</v>
      </c>
      <c r="C55" s="2">
        <v>45711.763194444437</v>
      </c>
      <c r="D55" s="2">
        <v>45711.850694444453</v>
      </c>
      <c r="E55">
        <v>2.1</v>
      </c>
      <c r="F55">
        <v>47.83</v>
      </c>
      <c r="G55" t="b">
        <v>0</v>
      </c>
      <c r="H55" s="2">
        <v>45711</v>
      </c>
      <c r="I55">
        <v>18</v>
      </c>
      <c r="J55" t="s">
        <v>52</v>
      </c>
      <c r="K55">
        <v>1</v>
      </c>
      <c r="L55" t="s">
        <v>42</v>
      </c>
      <c r="M55">
        <v>2.1</v>
      </c>
      <c r="N55" t="s">
        <v>43</v>
      </c>
      <c r="O55">
        <v>100</v>
      </c>
      <c r="P55" t="s">
        <v>44</v>
      </c>
      <c r="Q55">
        <v>1</v>
      </c>
      <c r="R55">
        <v>0</v>
      </c>
      <c r="S55">
        <v>0</v>
      </c>
      <c r="T55">
        <v>27.5</v>
      </c>
      <c r="U55">
        <v>47.83</v>
      </c>
      <c r="V55" t="s">
        <v>38</v>
      </c>
      <c r="W55">
        <v>0</v>
      </c>
      <c r="X55" t="s">
        <v>31</v>
      </c>
    </row>
    <row r="56" spans="1:24" x14ac:dyDescent="0.3">
      <c r="A56" t="s">
        <v>108</v>
      </c>
      <c r="B56" t="s">
        <v>40</v>
      </c>
      <c r="C56" s="2">
        <v>45712.591666666667</v>
      </c>
      <c r="D56" s="2">
        <v>45712.651388888888</v>
      </c>
      <c r="E56">
        <v>1.4333333333333329</v>
      </c>
      <c r="F56">
        <v>32.99</v>
      </c>
      <c r="G56" t="b">
        <v>0</v>
      </c>
      <c r="H56" s="2">
        <v>45712</v>
      </c>
      <c r="I56">
        <v>14</v>
      </c>
      <c r="J56" t="s">
        <v>54</v>
      </c>
      <c r="K56">
        <v>0</v>
      </c>
      <c r="L56" t="s">
        <v>27</v>
      </c>
      <c r="M56">
        <v>1.4333333333333329</v>
      </c>
      <c r="N56" t="s">
        <v>43</v>
      </c>
      <c r="O56">
        <v>100</v>
      </c>
      <c r="P56" t="s">
        <v>44</v>
      </c>
      <c r="Q56">
        <v>0</v>
      </c>
      <c r="R56">
        <v>0</v>
      </c>
      <c r="S56">
        <v>0</v>
      </c>
      <c r="T56">
        <v>26.8</v>
      </c>
      <c r="U56">
        <v>32.99</v>
      </c>
      <c r="V56" t="s">
        <v>38</v>
      </c>
      <c r="W56">
        <v>0</v>
      </c>
      <c r="X56" t="s">
        <v>31</v>
      </c>
    </row>
    <row r="57" spans="1:24" x14ac:dyDescent="0.3">
      <c r="A57" t="s">
        <v>109</v>
      </c>
      <c r="B57" t="s">
        <v>61</v>
      </c>
      <c r="C57" s="2">
        <v>45857.377083333333</v>
      </c>
      <c r="D57" s="2">
        <v>45857.40347222222</v>
      </c>
      <c r="E57">
        <v>0.6333333333333333</v>
      </c>
      <c r="F57">
        <v>15.98</v>
      </c>
      <c r="G57" t="b">
        <v>0</v>
      </c>
      <c r="H57" s="2">
        <v>45857</v>
      </c>
      <c r="I57">
        <v>9</v>
      </c>
      <c r="J57" t="s">
        <v>48</v>
      </c>
      <c r="K57">
        <v>1</v>
      </c>
      <c r="L57" t="s">
        <v>35</v>
      </c>
      <c r="M57">
        <v>0.6333333333333333</v>
      </c>
      <c r="N57" t="s">
        <v>62</v>
      </c>
      <c r="O57">
        <v>80</v>
      </c>
      <c r="P57" t="s">
        <v>37</v>
      </c>
      <c r="Q57">
        <v>1</v>
      </c>
      <c r="R57">
        <v>1</v>
      </c>
      <c r="S57">
        <v>0</v>
      </c>
      <c r="T57">
        <v>34.6</v>
      </c>
      <c r="U57">
        <v>15.98</v>
      </c>
      <c r="V57" t="s">
        <v>38</v>
      </c>
      <c r="W57">
        <v>1</v>
      </c>
      <c r="X57" t="s">
        <v>31</v>
      </c>
    </row>
    <row r="58" spans="1:24" x14ac:dyDescent="0.3">
      <c r="A58" t="s">
        <v>110</v>
      </c>
      <c r="B58" t="s">
        <v>47</v>
      </c>
      <c r="C58" s="2">
        <v>45714.459027777782</v>
      </c>
      <c r="D58" s="2">
        <v>45714.502083333333</v>
      </c>
      <c r="E58">
        <v>1.033333333333333</v>
      </c>
      <c r="F58">
        <v>32.840000000000003</v>
      </c>
      <c r="G58" t="b">
        <v>0</v>
      </c>
      <c r="H58" s="2">
        <v>45714</v>
      </c>
      <c r="I58">
        <v>11</v>
      </c>
      <c r="J58" t="s">
        <v>26</v>
      </c>
      <c r="K58">
        <v>0</v>
      </c>
      <c r="L58" t="s">
        <v>35</v>
      </c>
      <c r="M58">
        <v>1.033333333333333</v>
      </c>
      <c r="N58" t="s">
        <v>49</v>
      </c>
      <c r="O58">
        <v>50</v>
      </c>
      <c r="P58" t="s">
        <v>50</v>
      </c>
      <c r="Q58">
        <v>0</v>
      </c>
      <c r="R58">
        <v>0</v>
      </c>
      <c r="S58">
        <v>0</v>
      </c>
      <c r="T58">
        <v>30.5</v>
      </c>
      <c r="U58">
        <v>32.840000000000003</v>
      </c>
      <c r="V58" t="s">
        <v>38</v>
      </c>
      <c r="W58">
        <v>0</v>
      </c>
      <c r="X58" t="s">
        <v>31</v>
      </c>
    </row>
    <row r="59" spans="1:24" x14ac:dyDescent="0.3">
      <c r="A59" t="s">
        <v>111</v>
      </c>
      <c r="B59" t="s">
        <v>33</v>
      </c>
      <c r="C59" s="2">
        <v>45715.95416666667</v>
      </c>
      <c r="D59" s="2">
        <v>45716.038194444453</v>
      </c>
      <c r="E59">
        <v>2.0166666666666671</v>
      </c>
      <c r="F59">
        <v>38.97</v>
      </c>
      <c r="G59" t="b">
        <v>0</v>
      </c>
      <c r="H59" s="2">
        <v>45715</v>
      </c>
      <c r="I59">
        <v>22</v>
      </c>
      <c r="J59" t="s">
        <v>34</v>
      </c>
      <c r="K59">
        <v>0</v>
      </c>
      <c r="L59" t="s">
        <v>66</v>
      </c>
      <c r="M59">
        <v>2.0166666666666671</v>
      </c>
      <c r="N59" t="s">
        <v>36</v>
      </c>
      <c r="O59">
        <v>60</v>
      </c>
      <c r="P59" t="s">
        <v>37</v>
      </c>
      <c r="Q59">
        <v>0</v>
      </c>
      <c r="R59">
        <v>0</v>
      </c>
      <c r="S59">
        <v>1</v>
      </c>
      <c r="T59">
        <v>27.2</v>
      </c>
      <c r="U59">
        <v>38.97</v>
      </c>
      <c r="V59" t="s">
        <v>38</v>
      </c>
      <c r="W59">
        <v>0</v>
      </c>
      <c r="X59" t="s">
        <v>59</v>
      </c>
    </row>
    <row r="60" spans="1:24" x14ac:dyDescent="0.3">
      <c r="A60" t="s">
        <v>112</v>
      </c>
      <c r="B60" t="s">
        <v>25</v>
      </c>
      <c r="C60" s="2">
        <v>45716.545138888891</v>
      </c>
      <c r="D60" s="2">
        <v>45716.686805555553</v>
      </c>
      <c r="E60">
        <v>3.4</v>
      </c>
      <c r="F60">
        <v>48.07</v>
      </c>
      <c r="G60" t="b">
        <v>0</v>
      </c>
      <c r="H60" s="2">
        <v>45716</v>
      </c>
      <c r="I60">
        <v>13</v>
      </c>
      <c r="J60" t="s">
        <v>41</v>
      </c>
      <c r="K60">
        <v>0</v>
      </c>
      <c r="L60" t="s">
        <v>27</v>
      </c>
      <c r="M60">
        <v>3.4</v>
      </c>
      <c r="N60" t="s">
        <v>28</v>
      </c>
      <c r="O60">
        <v>70</v>
      </c>
      <c r="P60" t="s">
        <v>29</v>
      </c>
      <c r="Q60">
        <v>0</v>
      </c>
      <c r="R60">
        <v>0</v>
      </c>
      <c r="S60">
        <v>1</v>
      </c>
      <c r="T60">
        <v>25.6</v>
      </c>
      <c r="U60">
        <v>48.07</v>
      </c>
      <c r="V60" t="s">
        <v>38</v>
      </c>
      <c r="W60">
        <v>0</v>
      </c>
      <c r="X60" t="s">
        <v>59</v>
      </c>
    </row>
    <row r="61" spans="1:24" x14ac:dyDescent="0.3">
      <c r="A61" t="s">
        <v>113</v>
      </c>
      <c r="B61" t="s">
        <v>25</v>
      </c>
      <c r="C61" s="2">
        <v>45717.566666666673</v>
      </c>
      <c r="D61" s="2">
        <v>45717.649305555547</v>
      </c>
      <c r="E61">
        <v>1.9833333333333329</v>
      </c>
      <c r="F61">
        <v>28.8</v>
      </c>
      <c r="G61" t="b">
        <v>0</v>
      </c>
      <c r="H61" s="2">
        <v>45717</v>
      </c>
      <c r="I61">
        <v>13</v>
      </c>
      <c r="J61" t="s">
        <v>48</v>
      </c>
      <c r="K61">
        <v>1</v>
      </c>
      <c r="L61" t="s">
        <v>27</v>
      </c>
      <c r="M61">
        <v>1.9833333333333329</v>
      </c>
      <c r="N61" t="s">
        <v>28</v>
      </c>
      <c r="O61">
        <v>70</v>
      </c>
      <c r="P61" t="s">
        <v>29</v>
      </c>
      <c r="Q61">
        <v>1</v>
      </c>
      <c r="R61">
        <v>0</v>
      </c>
      <c r="S61">
        <v>1</v>
      </c>
      <c r="T61">
        <v>31.3</v>
      </c>
      <c r="U61">
        <v>28.8</v>
      </c>
      <c r="V61" t="s">
        <v>30</v>
      </c>
      <c r="W61">
        <v>0</v>
      </c>
      <c r="X61" t="s">
        <v>59</v>
      </c>
    </row>
    <row r="62" spans="1:24" x14ac:dyDescent="0.3">
      <c r="A62" t="s">
        <v>114</v>
      </c>
      <c r="B62" t="s">
        <v>25</v>
      </c>
      <c r="C62" s="2">
        <v>45718.511111111111</v>
      </c>
      <c r="D62" s="2">
        <v>45718.521527777782</v>
      </c>
      <c r="E62">
        <v>0.25</v>
      </c>
      <c r="F62">
        <v>18.7</v>
      </c>
      <c r="G62" t="b">
        <v>0</v>
      </c>
      <c r="H62" s="2">
        <v>45718</v>
      </c>
      <c r="I62">
        <v>12</v>
      </c>
      <c r="J62" t="s">
        <v>52</v>
      </c>
      <c r="K62">
        <v>1</v>
      </c>
      <c r="L62" t="s">
        <v>27</v>
      </c>
      <c r="M62">
        <v>0.25</v>
      </c>
      <c r="N62" t="s">
        <v>28</v>
      </c>
      <c r="O62">
        <v>70</v>
      </c>
      <c r="P62" t="s">
        <v>29</v>
      </c>
      <c r="Q62">
        <v>1</v>
      </c>
      <c r="R62">
        <v>0</v>
      </c>
      <c r="S62">
        <v>1</v>
      </c>
      <c r="T62">
        <v>30.5</v>
      </c>
      <c r="U62">
        <v>18.7</v>
      </c>
      <c r="V62" t="s">
        <v>30</v>
      </c>
      <c r="W62">
        <v>0</v>
      </c>
      <c r="X62" t="s">
        <v>59</v>
      </c>
    </row>
    <row r="63" spans="1:24" x14ac:dyDescent="0.3">
      <c r="A63" t="s">
        <v>115</v>
      </c>
      <c r="B63" t="s">
        <v>33</v>
      </c>
      <c r="C63" s="2">
        <v>45719.695833333331</v>
      </c>
      <c r="D63" s="2">
        <v>45719.856944444437</v>
      </c>
      <c r="E63">
        <v>3.8666666666666671</v>
      </c>
      <c r="F63">
        <v>57.56</v>
      </c>
      <c r="G63" t="b">
        <v>0</v>
      </c>
      <c r="H63" s="2">
        <v>45719</v>
      </c>
      <c r="I63">
        <v>16</v>
      </c>
      <c r="J63" t="s">
        <v>54</v>
      </c>
      <c r="K63">
        <v>0</v>
      </c>
      <c r="L63" t="s">
        <v>27</v>
      </c>
      <c r="M63">
        <v>3.8666666666666671</v>
      </c>
      <c r="N63" t="s">
        <v>36</v>
      </c>
      <c r="O63">
        <v>60</v>
      </c>
      <c r="P63" t="s">
        <v>37</v>
      </c>
      <c r="Q63">
        <v>0</v>
      </c>
      <c r="R63">
        <v>0</v>
      </c>
      <c r="S63">
        <v>0</v>
      </c>
      <c r="T63">
        <v>30.6</v>
      </c>
      <c r="U63">
        <v>57.56</v>
      </c>
      <c r="V63" t="s">
        <v>38</v>
      </c>
      <c r="W63">
        <v>0</v>
      </c>
      <c r="X63" t="s">
        <v>31</v>
      </c>
    </row>
    <row r="64" spans="1:24" x14ac:dyDescent="0.3">
      <c r="A64" t="s">
        <v>116</v>
      </c>
      <c r="B64" t="s">
        <v>33</v>
      </c>
      <c r="C64" s="2">
        <v>45720.777777777781</v>
      </c>
      <c r="D64" s="2">
        <v>45721.111111111109</v>
      </c>
      <c r="E64">
        <v>8</v>
      </c>
      <c r="F64">
        <v>128.22</v>
      </c>
      <c r="G64" t="b">
        <v>0</v>
      </c>
      <c r="H64" s="2">
        <v>45720</v>
      </c>
      <c r="I64">
        <v>18</v>
      </c>
      <c r="J64" t="s">
        <v>56</v>
      </c>
      <c r="K64">
        <v>0</v>
      </c>
      <c r="L64" t="s">
        <v>42</v>
      </c>
      <c r="M64">
        <v>8</v>
      </c>
      <c r="N64" t="s">
        <v>36</v>
      </c>
      <c r="O64">
        <v>60</v>
      </c>
      <c r="P64" t="s">
        <v>37</v>
      </c>
      <c r="Q64">
        <v>0</v>
      </c>
      <c r="R64">
        <v>0</v>
      </c>
      <c r="S64">
        <v>0</v>
      </c>
      <c r="T64">
        <v>31.8</v>
      </c>
      <c r="U64">
        <v>128.22</v>
      </c>
      <c r="V64" t="s">
        <v>38</v>
      </c>
      <c r="W64">
        <v>0</v>
      </c>
      <c r="X64" t="s">
        <v>31</v>
      </c>
    </row>
    <row r="65" spans="1:24" x14ac:dyDescent="0.3">
      <c r="A65" t="s">
        <v>117</v>
      </c>
      <c r="B65" t="s">
        <v>47</v>
      </c>
      <c r="C65" s="2">
        <v>45721.263888888891</v>
      </c>
      <c r="D65" s="2">
        <v>45721.287499999999</v>
      </c>
      <c r="E65">
        <v>0.56666666666666665</v>
      </c>
      <c r="F65">
        <v>12.97</v>
      </c>
      <c r="G65" t="b">
        <v>0</v>
      </c>
      <c r="H65" s="2">
        <v>45721</v>
      </c>
      <c r="I65">
        <v>6</v>
      </c>
      <c r="J65" t="s">
        <v>26</v>
      </c>
      <c r="K65">
        <v>0</v>
      </c>
      <c r="L65" t="s">
        <v>35</v>
      </c>
      <c r="M65">
        <v>0.56666666666666665</v>
      </c>
      <c r="N65" t="s">
        <v>49</v>
      </c>
      <c r="O65">
        <v>50</v>
      </c>
      <c r="P65" t="s">
        <v>50</v>
      </c>
      <c r="Q65">
        <v>0</v>
      </c>
      <c r="R65">
        <v>0</v>
      </c>
      <c r="S65">
        <v>1</v>
      </c>
      <c r="T65">
        <v>27.4</v>
      </c>
      <c r="U65">
        <v>12.97</v>
      </c>
      <c r="V65" t="s">
        <v>38</v>
      </c>
      <c r="W65">
        <v>0</v>
      </c>
      <c r="X65" t="s">
        <v>59</v>
      </c>
    </row>
    <row r="66" spans="1:24" x14ac:dyDescent="0.3">
      <c r="A66" t="s">
        <v>118</v>
      </c>
      <c r="B66" t="s">
        <v>40</v>
      </c>
      <c r="C66" s="2">
        <v>45722.388194444437</v>
      </c>
      <c r="D66" s="2">
        <v>45722.451388888891</v>
      </c>
      <c r="E66">
        <v>1.5166666666666671</v>
      </c>
      <c r="F66">
        <v>29.35</v>
      </c>
      <c r="G66" t="b">
        <v>0</v>
      </c>
      <c r="H66" s="2">
        <v>45722</v>
      </c>
      <c r="I66">
        <v>9</v>
      </c>
      <c r="J66" t="s">
        <v>34</v>
      </c>
      <c r="K66">
        <v>0</v>
      </c>
      <c r="L66" t="s">
        <v>35</v>
      </c>
      <c r="M66">
        <v>1.5166666666666671</v>
      </c>
      <c r="N66" t="s">
        <v>43</v>
      </c>
      <c r="O66">
        <v>100</v>
      </c>
      <c r="P66" t="s">
        <v>44</v>
      </c>
      <c r="Q66">
        <v>0</v>
      </c>
      <c r="R66">
        <v>0</v>
      </c>
      <c r="S66">
        <v>0</v>
      </c>
      <c r="T66">
        <v>30.9</v>
      </c>
      <c r="U66">
        <v>29.35</v>
      </c>
      <c r="V66" t="s">
        <v>30</v>
      </c>
      <c r="W66">
        <v>0</v>
      </c>
      <c r="X66" t="s">
        <v>31</v>
      </c>
    </row>
    <row r="67" spans="1:24" x14ac:dyDescent="0.3">
      <c r="A67" t="s">
        <v>119</v>
      </c>
      <c r="B67" t="s">
        <v>25</v>
      </c>
      <c r="C67" s="2">
        <v>45723.867361111108</v>
      </c>
      <c r="D67" s="2">
        <v>45723.911111111112</v>
      </c>
      <c r="E67">
        <v>1.05</v>
      </c>
      <c r="F67">
        <v>22.62</v>
      </c>
      <c r="G67" t="b">
        <v>0</v>
      </c>
      <c r="H67" s="2">
        <v>45723</v>
      </c>
      <c r="I67">
        <v>20</v>
      </c>
      <c r="J67" t="s">
        <v>41</v>
      </c>
      <c r="K67">
        <v>0</v>
      </c>
      <c r="L67" t="s">
        <v>42</v>
      </c>
      <c r="M67">
        <v>1.05</v>
      </c>
      <c r="N67" t="s">
        <v>28</v>
      </c>
      <c r="O67">
        <v>70</v>
      </c>
      <c r="P67" t="s">
        <v>29</v>
      </c>
      <c r="Q67">
        <v>0</v>
      </c>
      <c r="R67">
        <v>0</v>
      </c>
      <c r="S67">
        <v>0</v>
      </c>
      <c r="T67">
        <v>28.3</v>
      </c>
      <c r="U67">
        <v>22.62</v>
      </c>
      <c r="V67" t="s">
        <v>45</v>
      </c>
      <c r="W67">
        <v>0</v>
      </c>
      <c r="X67" t="s">
        <v>31</v>
      </c>
    </row>
    <row r="68" spans="1:24" x14ac:dyDescent="0.3">
      <c r="A68" t="s">
        <v>120</v>
      </c>
      <c r="B68" t="s">
        <v>25</v>
      </c>
      <c r="C68" s="2">
        <v>45724.704861111109</v>
      </c>
      <c r="D68" s="2">
        <v>45724.81527777778</v>
      </c>
      <c r="E68">
        <v>2.65</v>
      </c>
      <c r="F68">
        <v>37.93</v>
      </c>
      <c r="G68" t="b">
        <v>0</v>
      </c>
      <c r="H68" s="2">
        <v>45724</v>
      </c>
      <c r="I68">
        <v>16</v>
      </c>
      <c r="J68" t="s">
        <v>48</v>
      </c>
      <c r="K68">
        <v>1</v>
      </c>
      <c r="L68" t="s">
        <v>27</v>
      </c>
      <c r="M68">
        <v>2.65</v>
      </c>
      <c r="N68" t="s">
        <v>28</v>
      </c>
      <c r="O68">
        <v>70</v>
      </c>
      <c r="P68" t="s">
        <v>29</v>
      </c>
      <c r="Q68">
        <v>1</v>
      </c>
      <c r="R68">
        <v>0</v>
      </c>
      <c r="S68">
        <v>0</v>
      </c>
      <c r="T68">
        <v>27.7</v>
      </c>
      <c r="U68">
        <v>37.93</v>
      </c>
      <c r="V68" t="s">
        <v>38</v>
      </c>
      <c r="W68">
        <v>0</v>
      </c>
      <c r="X68" t="s">
        <v>31</v>
      </c>
    </row>
    <row r="69" spans="1:24" x14ac:dyDescent="0.3">
      <c r="A69" t="s">
        <v>121</v>
      </c>
      <c r="B69" t="s">
        <v>61</v>
      </c>
      <c r="C69" s="2">
        <v>45725.563888888893</v>
      </c>
      <c r="D69" s="2">
        <v>45725.71597222222</v>
      </c>
      <c r="E69">
        <v>3.65</v>
      </c>
      <c r="F69">
        <v>59.42</v>
      </c>
      <c r="G69" t="b">
        <v>0</v>
      </c>
      <c r="H69" s="2">
        <v>45725</v>
      </c>
      <c r="I69">
        <v>13</v>
      </c>
      <c r="J69" t="s">
        <v>52</v>
      </c>
      <c r="K69">
        <v>1</v>
      </c>
      <c r="L69" t="s">
        <v>27</v>
      </c>
      <c r="M69">
        <v>3.65</v>
      </c>
      <c r="N69" t="s">
        <v>62</v>
      </c>
      <c r="O69">
        <v>80</v>
      </c>
      <c r="P69" t="s">
        <v>37</v>
      </c>
      <c r="Q69">
        <v>1</v>
      </c>
      <c r="R69">
        <v>0</v>
      </c>
      <c r="S69">
        <v>0</v>
      </c>
      <c r="T69">
        <v>28.4</v>
      </c>
      <c r="U69">
        <v>59.42</v>
      </c>
      <c r="V69" t="s">
        <v>38</v>
      </c>
      <c r="W69">
        <v>0</v>
      </c>
      <c r="X69" t="s">
        <v>31</v>
      </c>
    </row>
    <row r="70" spans="1:24" x14ac:dyDescent="0.3">
      <c r="A70" t="s">
        <v>122</v>
      </c>
      <c r="B70" t="s">
        <v>25</v>
      </c>
      <c r="C70" s="2">
        <v>45726.572222222218</v>
      </c>
      <c r="D70" s="2">
        <v>45726.707638888889</v>
      </c>
      <c r="E70">
        <v>3.25</v>
      </c>
      <c r="F70">
        <v>52.02</v>
      </c>
      <c r="G70" t="b">
        <v>0</v>
      </c>
      <c r="H70" s="2">
        <v>45726</v>
      </c>
      <c r="I70">
        <v>13</v>
      </c>
      <c r="J70" t="s">
        <v>54</v>
      </c>
      <c r="K70">
        <v>0</v>
      </c>
      <c r="L70" t="s">
        <v>27</v>
      </c>
      <c r="M70">
        <v>3.25</v>
      </c>
      <c r="N70" t="s">
        <v>28</v>
      </c>
      <c r="O70">
        <v>70</v>
      </c>
      <c r="P70" t="s">
        <v>29</v>
      </c>
      <c r="Q70">
        <v>0</v>
      </c>
      <c r="R70">
        <v>0</v>
      </c>
      <c r="S70">
        <v>0</v>
      </c>
      <c r="T70">
        <v>32.299999999999997</v>
      </c>
      <c r="U70">
        <v>52.02</v>
      </c>
      <c r="V70" t="s">
        <v>38</v>
      </c>
      <c r="W70">
        <v>0</v>
      </c>
      <c r="X70" t="s">
        <v>31</v>
      </c>
    </row>
    <row r="71" spans="1:24" x14ac:dyDescent="0.3">
      <c r="A71" t="s">
        <v>123</v>
      </c>
      <c r="B71" t="s">
        <v>61</v>
      </c>
      <c r="C71" s="2">
        <v>45727.823611111111</v>
      </c>
      <c r="D71" s="2">
        <v>45728.074999999997</v>
      </c>
      <c r="E71">
        <v>6.0333333333333332</v>
      </c>
      <c r="F71">
        <v>100.55</v>
      </c>
      <c r="G71" t="b">
        <v>0</v>
      </c>
      <c r="H71" s="2">
        <v>45727</v>
      </c>
      <c r="I71">
        <v>19</v>
      </c>
      <c r="J71" t="s">
        <v>56</v>
      </c>
      <c r="K71">
        <v>0</v>
      </c>
      <c r="L71" t="s">
        <v>42</v>
      </c>
      <c r="M71">
        <v>6.0333333333333332</v>
      </c>
      <c r="N71" t="s">
        <v>62</v>
      </c>
      <c r="O71">
        <v>80</v>
      </c>
      <c r="P71" t="s">
        <v>37</v>
      </c>
      <c r="Q71">
        <v>0</v>
      </c>
      <c r="R71">
        <v>0</v>
      </c>
      <c r="S71">
        <v>0</v>
      </c>
      <c r="T71">
        <v>30.5</v>
      </c>
      <c r="U71">
        <v>100.55</v>
      </c>
      <c r="V71" t="s">
        <v>38</v>
      </c>
      <c r="W71">
        <v>0</v>
      </c>
      <c r="X71" t="s">
        <v>31</v>
      </c>
    </row>
    <row r="72" spans="1:24" x14ac:dyDescent="0.3">
      <c r="A72" t="s">
        <v>124</v>
      </c>
      <c r="B72" t="s">
        <v>25</v>
      </c>
      <c r="C72" s="2">
        <v>45728.890277777777</v>
      </c>
      <c r="D72" s="2">
        <v>45728.968055555553</v>
      </c>
      <c r="E72">
        <v>1.8666666666666669</v>
      </c>
      <c r="F72">
        <v>25.44</v>
      </c>
      <c r="G72" t="b">
        <v>0</v>
      </c>
      <c r="H72" s="2">
        <v>45728</v>
      </c>
      <c r="I72">
        <v>21</v>
      </c>
      <c r="J72" t="s">
        <v>26</v>
      </c>
      <c r="K72">
        <v>0</v>
      </c>
      <c r="L72" t="s">
        <v>66</v>
      </c>
      <c r="M72">
        <v>1.8666666666666669</v>
      </c>
      <c r="N72" t="s">
        <v>28</v>
      </c>
      <c r="O72">
        <v>70</v>
      </c>
      <c r="P72" t="s">
        <v>29</v>
      </c>
      <c r="Q72">
        <v>0</v>
      </c>
      <c r="R72">
        <v>0</v>
      </c>
      <c r="S72">
        <v>1</v>
      </c>
      <c r="T72">
        <v>25.2</v>
      </c>
      <c r="U72">
        <v>25.44</v>
      </c>
      <c r="V72" t="s">
        <v>30</v>
      </c>
      <c r="W72">
        <v>0</v>
      </c>
      <c r="X72" t="s">
        <v>59</v>
      </c>
    </row>
    <row r="73" spans="1:24" x14ac:dyDescent="0.3">
      <c r="A73" t="s">
        <v>125</v>
      </c>
      <c r="B73" t="s">
        <v>61</v>
      </c>
      <c r="C73" s="2">
        <v>45729.540277777778</v>
      </c>
      <c r="D73" s="2">
        <v>45729.558333333327</v>
      </c>
      <c r="E73">
        <v>0.43333333333333329</v>
      </c>
      <c r="F73">
        <v>13.72</v>
      </c>
      <c r="G73" t="b">
        <v>0</v>
      </c>
      <c r="H73" s="2">
        <v>45729</v>
      </c>
      <c r="I73">
        <v>12</v>
      </c>
      <c r="J73" t="s">
        <v>34</v>
      </c>
      <c r="K73">
        <v>0</v>
      </c>
      <c r="L73" t="s">
        <v>27</v>
      </c>
      <c r="M73">
        <v>0.43333333333333329</v>
      </c>
      <c r="N73" t="s">
        <v>62</v>
      </c>
      <c r="O73">
        <v>80</v>
      </c>
      <c r="P73" t="s">
        <v>37</v>
      </c>
      <c r="Q73">
        <v>0</v>
      </c>
      <c r="R73">
        <v>0</v>
      </c>
      <c r="S73">
        <v>1</v>
      </c>
      <c r="T73">
        <v>26.2</v>
      </c>
      <c r="U73">
        <v>13.72</v>
      </c>
      <c r="V73" t="s">
        <v>30</v>
      </c>
      <c r="W73">
        <v>0</v>
      </c>
      <c r="X73" t="s">
        <v>59</v>
      </c>
    </row>
    <row r="74" spans="1:24" x14ac:dyDescent="0.3">
      <c r="A74" t="s">
        <v>126</v>
      </c>
      <c r="B74" t="s">
        <v>33</v>
      </c>
      <c r="C74" s="2">
        <v>45730.426388888889</v>
      </c>
      <c r="D74" s="2">
        <v>45730.552083333343</v>
      </c>
      <c r="E74">
        <v>3.0166666666666671</v>
      </c>
      <c r="F74">
        <v>56.42</v>
      </c>
      <c r="G74" t="b">
        <v>0</v>
      </c>
      <c r="H74" s="2">
        <v>45730</v>
      </c>
      <c r="I74">
        <v>10</v>
      </c>
      <c r="J74" t="s">
        <v>41</v>
      </c>
      <c r="K74">
        <v>0</v>
      </c>
      <c r="L74" t="s">
        <v>35</v>
      </c>
      <c r="M74">
        <v>3.0166666666666671</v>
      </c>
      <c r="N74" t="s">
        <v>36</v>
      </c>
      <c r="O74">
        <v>60</v>
      </c>
      <c r="P74" t="s">
        <v>37</v>
      </c>
      <c r="Q74">
        <v>0</v>
      </c>
      <c r="R74">
        <v>0</v>
      </c>
      <c r="S74">
        <v>0</v>
      </c>
      <c r="T74">
        <v>27.4</v>
      </c>
      <c r="U74">
        <v>56.42</v>
      </c>
      <c r="V74" t="s">
        <v>30</v>
      </c>
      <c r="W74">
        <v>0</v>
      </c>
      <c r="X74" t="s">
        <v>31</v>
      </c>
    </row>
    <row r="75" spans="1:24" x14ac:dyDescent="0.3">
      <c r="A75" t="s">
        <v>127</v>
      </c>
      <c r="B75" t="s">
        <v>25</v>
      </c>
      <c r="C75" s="2">
        <v>45731.686111111107</v>
      </c>
      <c r="D75" s="2">
        <v>45731.77847222222</v>
      </c>
      <c r="E75">
        <v>2.2166666666666668</v>
      </c>
      <c r="F75">
        <v>42.28</v>
      </c>
      <c r="G75" t="b">
        <v>0</v>
      </c>
      <c r="H75" s="2">
        <v>45731</v>
      </c>
      <c r="I75">
        <v>16</v>
      </c>
      <c r="J75" t="s">
        <v>48</v>
      </c>
      <c r="K75">
        <v>1</v>
      </c>
      <c r="L75" t="s">
        <v>27</v>
      </c>
      <c r="M75">
        <v>2.2166666666666668</v>
      </c>
      <c r="N75" t="s">
        <v>28</v>
      </c>
      <c r="O75">
        <v>70</v>
      </c>
      <c r="P75" t="s">
        <v>29</v>
      </c>
      <c r="Q75">
        <v>1</v>
      </c>
      <c r="R75">
        <v>0</v>
      </c>
      <c r="S75">
        <v>0</v>
      </c>
      <c r="T75">
        <v>30.3</v>
      </c>
      <c r="U75">
        <v>42.28</v>
      </c>
      <c r="V75" t="s">
        <v>30</v>
      </c>
      <c r="W75">
        <v>0</v>
      </c>
      <c r="X75" t="s">
        <v>31</v>
      </c>
    </row>
    <row r="76" spans="1:24" x14ac:dyDescent="0.3">
      <c r="A76" t="s">
        <v>128</v>
      </c>
      <c r="B76" t="s">
        <v>47</v>
      </c>
      <c r="C76" s="2">
        <v>45732.711111111108</v>
      </c>
      <c r="D76" s="2">
        <v>45732.786111111112</v>
      </c>
      <c r="E76">
        <v>1.8</v>
      </c>
      <c r="F76">
        <v>31.94</v>
      </c>
      <c r="G76" t="b">
        <v>0</v>
      </c>
      <c r="H76" s="2">
        <v>45732</v>
      </c>
      <c r="I76">
        <v>17</v>
      </c>
      <c r="J76" t="s">
        <v>52</v>
      </c>
      <c r="K76">
        <v>1</v>
      </c>
      <c r="L76" t="s">
        <v>42</v>
      </c>
      <c r="M76">
        <v>1.8</v>
      </c>
      <c r="N76" t="s">
        <v>49</v>
      </c>
      <c r="O76">
        <v>50</v>
      </c>
      <c r="P76" t="s">
        <v>50</v>
      </c>
      <c r="Q76">
        <v>1</v>
      </c>
      <c r="R76">
        <v>0</v>
      </c>
      <c r="S76">
        <v>0</v>
      </c>
      <c r="T76">
        <v>26.5</v>
      </c>
      <c r="U76">
        <v>31.94</v>
      </c>
      <c r="V76" t="s">
        <v>45</v>
      </c>
      <c r="W76">
        <v>0</v>
      </c>
      <c r="X76" t="s">
        <v>31</v>
      </c>
    </row>
    <row r="77" spans="1:24" x14ac:dyDescent="0.3">
      <c r="A77" t="s">
        <v>129</v>
      </c>
      <c r="B77" t="s">
        <v>61</v>
      </c>
      <c r="C77" s="2">
        <v>45733.811805555553</v>
      </c>
      <c r="D77" s="2">
        <v>45733.862500000003</v>
      </c>
      <c r="E77">
        <v>1.216666666666667</v>
      </c>
      <c r="F77">
        <v>25.08</v>
      </c>
      <c r="G77" t="b">
        <v>0</v>
      </c>
      <c r="H77" s="2">
        <v>45733</v>
      </c>
      <c r="I77">
        <v>19</v>
      </c>
      <c r="J77" t="s">
        <v>54</v>
      </c>
      <c r="K77">
        <v>0</v>
      </c>
      <c r="L77" t="s">
        <v>42</v>
      </c>
      <c r="M77">
        <v>1.216666666666667</v>
      </c>
      <c r="N77" t="s">
        <v>62</v>
      </c>
      <c r="O77">
        <v>80</v>
      </c>
      <c r="P77" t="s">
        <v>37</v>
      </c>
      <c r="Q77">
        <v>0</v>
      </c>
      <c r="R77">
        <v>0</v>
      </c>
      <c r="S77">
        <v>0</v>
      </c>
      <c r="T77">
        <v>31.6</v>
      </c>
      <c r="U77">
        <v>25.08</v>
      </c>
      <c r="V77" t="s">
        <v>38</v>
      </c>
      <c r="W77">
        <v>0</v>
      </c>
      <c r="X77" t="s">
        <v>31</v>
      </c>
    </row>
    <row r="78" spans="1:24" x14ac:dyDescent="0.3">
      <c r="A78" t="s">
        <v>130</v>
      </c>
      <c r="B78" t="s">
        <v>40</v>
      </c>
      <c r="C78" s="2">
        <v>45734.43472222222</v>
      </c>
      <c r="D78" s="2">
        <v>45734.604166666657</v>
      </c>
      <c r="E78">
        <v>4.0666666666666664</v>
      </c>
      <c r="F78">
        <v>64.47</v>
      </c>
      <c r="G78" t="b">
        <v>0</v>
      </c>
      <c r="H78" s="2">
        <v>45734</v>
      </c>
      <c r="I78">
        <v>10</v>
      </c>
      <c r="J78" t="s">
        <v>56</v>
      </c>
      <c r="K78">
        <v>0</v>
      </c>
      <c r="L78" t="s">
        <v>35</v>
      </c>
      <c r="M78">
        <v>4.0666666666666664</v>
      </c>
      <c r="N78" t="s">
        <v>43</v>
      </c>
      <c r="O78">
        <v>100</v>
      </c>
      <c r="P78" t="s">
        <v>44</v>
      </c>
      <c r="Q78">
        <v>0</v>
      </c>
      <c r="R78">
        <v>0</v>
      </c>
      <c r="S78">
        <v>0</v>
      </c>
      <c r="T78">
        <v>30.1</v>
      </c>
      <c r="U78">
        <v>64.47</v>
      </c>
      <c r="V78" t="s">
        <v>38</v>
      </c>
      <c r="W78">
        <v>0</v>
      </c>
      <c r="X78" t="s">
        <v>31</v>
      </c>
    </row>
    <row r="79" spans="1:24" x14ac:dyDescent="0.3">
      <c r="A79" t="s">
        <v>131</v>
      </c>
      <c r="B79" t="s">
        <v>33</v>
      </c>
      <c r="C79" s="2">
        <v>45735.584027777782</v>
      </c>
      <c r="D79" s="2">
        <v>45735.614583333343</v>
      </c>
      <c r="E79">
        <v>0.73333333333333328</v>
      </c>
      <c r="F79">
        <v>10.61</v>
      </c>
      <c r="G79" t="b">
        <v>0</v>
      </c>
      <c r="H79" s="2">
        <v>45735</v>
      </c>
      <c r="I79">
        <v>14</v>
      </c>
      <c r="J79" t="s">
        <v>26</v>
      </c>
      <c r="K79">
        <v>0</v>
      </c>
      <c r="L79" t="s">
        <v>27</v>
      </c>
      <c r="M79">
        <v>0.73333333333333328</v>
      </c>
      <c r="N79" t="s">
        <v>36</v>
      </c>
      <c r="O79">
        <v>60</v>
      </c>
      <c r="P79" t="s">
        <v>37</v>
      </c>
      <c r="Q79">
        <v>0</v>
      </c>
      <c r="R79">
        <v>0</v>
      </c>
      <c r="S79">
        <v>0</v>
      </c>
      <c r="T79">
        <v>31.6</v>
      </c>
      <c r="U79">
        <v>10.61</v>
      </c>
      <c r="V79" t="s">
        <v>38</v>
      </c>
      <c r="W79">
        <v>0</v>
      </c>
      <c r="X79" t="s">
        <v>31</v>
      </c>
    </row>
    <row r="80" spans="1:24" x14ac:dyDescent="0.3">
      <c r="A80" t="s">
        <v>132</v>
      </c>
      <c r="B80" t="s">
        <v>40</v>
      </c>
      <c r="C80" s="2">
        <v>45736.421527777777</v>
      </c>
      <c r="F80">
        <v>11.36</v>
      </c>
      <c r="G80" t="b">
        <v>1</v>
      </c>
      <c r="H80" s="2">
        <v>45736</v>
      </c>
      <c r="I80">
        <v>10</v>
      </c>
      <c r="J80" t="s">
        <v>34</v>
      </c>
      <c r="K80">
        <v>0</v>
      </c>
      <c r="L80" t="s">
        <v>35</v>
      </c>
      <c r="N80" t="s">
        <v>43</v>
      </c>
      <c r="O80">
        <v>100</v>
      </c>
      <c r="P80" t="s">
        <v>44</v>
      </c>
      <c r="Q80">
        <v>0</v>
      </c>
      <c r="R80">
        <v>0</v>
      </c>
      <c r="S80">
        <v>0</v>
      </c>
      <c r="T80">
        <v>33.700000000000003</v>
      </c>
      <c r="U80">
        <v>11.36</v>
      </c>
      <c r="V80" t="s">
        <v>30</v>
      </c>
      <c r="W80">
        <v>0</v>
      </c>
      <c r="X80" t="s">
        <v>31</v>
      </c>
    </row>
    <row r="81" spans="1:24" x14ac:dyDescent="0.3">
      <c r="A81" t="s">
        <v>133</v>
      </c>
      <c r="B81" t="s">
        <v>47</v>
      </c>
      <c r="C81" s="2">
        <v>45737.823611111111</v>
      </c>
      <c r="D81" s="2">
        <v>45737.888888888891</v>
      </c>
      <c r="E81">
        <v>1.5666666666666671</v>
      </c>
      <c r="F81">
        <v>18.87</v>
      </c>
      <c r="G81" t="b">
        <v>0</v>
      </c>
      <c r="H81" s="2">
        <v>45737</v>
      </c>
      <c r="I81">
        <v>19</v>
      </c>
      <c r="J81" t="s">
        <v>41</v>
      </c>
      <c r="K81">
        <v>0</v>
      </c>
      <c r="L81" t="s">
        <v>42</v>
      </c>
      <c r="M81">
        <v>1.5666666666666671</v>
      </c>
      <c r="N81" t="s">
        <v>49</v>
      </c>
      <c r="O81">
        <v>50</v>
      </c>
      <c r="P81" t="s">
        <v>50</v>
      </c>
      <c r="Q81">
        <v>0</v>
      </c>
      <c r="R81">
        <v>0</v>
      </c>
      <c r="S81">
        <v>0</v>
      </c>
      <c r="T81">
        <v>30.4</v>
      </c>
      <c r="U81">
        <v>18.87</v>
      </c>
      <c r="V81" t="s">
        <v>38</v>
      </c>
      <c r="W81">
        <v>0</v>
      </c>
      <c r="X81" t="s">
        <v>31</v>
      </c>
    </row>
    <row r="82" spans="1:24" x14ac:dyDescent="0.3">
      <c r="A82" t="s">
        <v>134</v>
      </c>
      <c r="B82" t="s">
        <v>33</v>
      </c>
      <c r="C82" s="2">
        <v>45738.668055555558</v>
      </c>
      <c r="D82" s="2">
        <v>45738.73541666667</v>
      </c>
      <c r="E82">
        <v>1.6166666666666669</v>
      </c>
      <c r="F82">
        <v>29.74</v>
      </c>
      <c r="G82" t="b">
        <v>0</v>
      </c>
      <c r="H82" s="2">
        <v>45738</v>
      </c>
      <c r="I82">
        <v>16</v>
      </c>
      <c r="J82" t="s">
        <v>48</v>
      </c>
      <c r="K82">
        <v>1</v>
      </c>
      <c r="L82" t="s">
        <v>27</v>
      </c>
      <c r="M82">
        <v>1.6166666666666669</v>
      </c>
      <c r="N82" t="s">
        <v>36</v>
      </c>
      <c r="O82">
        <v>60</v>
      </c>
      <c r="P82" t="s">
        <v>37</v>
      </c>
      <c r="Q82">
        <v>1</v>
      </c>
      <c r="R82">
        <v>0</v>
      </c>
      <c r="S82">
        <v>0</v>
      </c>
      <c r="T82">
        <v>32.9</v>
      </c>
      <c r="U82">
        <v>29.74</v>
      </c>
      <c r="V82" t="s">
        <v>38</v>
      </c>
      <c r="W82">
        <v>0</v>
      </c>
      <c r="X82" t="s">
        <v>31</v>
      </c>
    </row>
    <row r="83" spans="1:24" x14ac:dyDescent="0.3">
      <c r="A83" t="s">
        <v>135</v>
      </c>
      <c r="B83" t="s">
        <v>25</v>
      </c>
      <c r="C83" s="2">
        <v>45739.880555555559</v>
      </c>
      <c r="D83" s="2">
        <v>45739.95208333333</v>
      </c>
      <c r="E83">
        <v>1.716666666666667</v>
      </c>
      <c r="F83">
        <v>23.81</v>
      </c>
      <c r="G83" t="b">
        <v>0</v>
      </c>
      <c r="H83" s="2">
        <v>45739</v>
      </c>
      <c r="I83">
        <v>21</v>
      </c>
      <c r="J83" t="s">
        <v>52</v>
      </c>
      <c r="K83">
        <v>1</v>
      </c>
      <c r="L83" t="s">
        <v>66</v>
      </c>
      <c r="M83">
        <v>1.716666666666667</v>
      </c>
      <c r="N83" t="s">
        <v>28</v>
      </c>
      <c r="O83">
        <v>70</v>
      </c>
      <c r="P83" t="s">
        <v>29</v>
      </c>
      <c r="Q83">
        <v>1</v>
      </c>
      <c r="R83">
        <v>0</v>
      </c>
      <c r="S83">
        <v>0</v>
      </c>
      <c r="T83">
        <v>29.5</v>
      </c>
      <c r="U83">
        <v>23.81</v>
      </c>
      <c r="V83" t="s">
        <v>45</v>
      </c>
      <c r="W83">
        <v>0</v>
      </c>
      <c r="X83" t="s">
        <v>31</v>
      </c>
    </row>
    <row r="84" spans="1:24" x14ac:dyDescent="0.3">
      <c r="A84" t="s">
        <v>136</v>
      </c>
      <c r="B84" t="s">
        <v>40</v>
      </c>
      <c r="C84" s="2">
        <v>45740.256249999999</v>
      </c>
      <c r="D84" s="2">
        <v>45740.40347222222</v>
      </c>
      <c r="E84">
        <v>3.5333333333333332</v>
      </c>
      <c r="F84">
        <v>49.84</v>
      </c>
      <c r="G84" t="b">
        <v>0</v>
      </c>
      <c r="H84" s="2">
        <v>45740</v>
      </c>
      <c r="I84">
        <v>6</v>
      </c>
      <c r="J84" t="s">
        <v>54</v>
      </c>
      <c r="K84">
        <v>0</v>
      </c>
      <c r="L84" t="s">
        <v>35</v>
      </c>
      <c r="M84">
        <v>3.5333333333333332</v>
      </c>
      <c r="N84" t="s">
        <v>43</v>
      </c>
      <c r="O84">
        <v>100</v>
      </c>
      <c r="P84" t="s">
        <v>44</v>
      </c>
      <c r="Q84">
        <v>0</v>
      </c>
      <c r="R84">
        <v>0</v>
      </c>
      <c r="S84">
        <v>0</v>
      </c>
      <c r="T84">
        <v>31.5</v>
      </c>
      <c r="U84">
        <v>49.84</v>
      </c>
      <c r="V84" t="s">
        <v>30</v>
      </c>
      <c r="W84">
        <v>0</v>
      </c>
      <c r="X84" t="s">
        <v>31</v>
      </c>
    </row>
    <row r="85" spans="1:24" x14ac:dyDescent="0.3">
      <c r="A85" t="s">
        <v>137</v>
      </c>
      <c r="B85" t="s">
        <v>33</v>
      </c>
      <c r="C85" s="2">
        <v>45741.550694444442</v>
      </c>
      <c r="D85" s="2">
        <v>45741.625694444447</v>
      </c>
      <c r="E85">
        <v>1.8</v>
      </c>
      <c r="F85">
        <v>27.19</v>
      </c>
      <c r="G85" t="b">
        <v>0</v>
      </c>
      <c r="H85" s="2">
        <v>45741</v>
      </c>
      <c r="I85">
        <v>13</v>
      </c>
      <c r="J85" t="s">
        <v>56</v>
      </c>
      <c r="K85">
        <v>0</v>
      </c>
      <c r="L85" t="s">
        <v>27</v>
      </c>
      <c r="M85">
        <v>1.8</v>
      </c>
      <c r="N85" t="s">
        <v>36</v>
      </c>
      <c r="O85">
        <v>60</v>
      </c>
      <c r="P85" t="s">
        <v>37</v>
      </c>
      <c r="Q85">
        <v>0</v>
      </c>
      <c r="R85">
        <v>0</v>
      </c>
      <c r="S85">
        <v>1</v>
      </c>
      <c r="T85">
        <v>30.9</v>
      </c>
      <c r="U85">
        <v>27.19</v>
      </c>
      <c r="V85" t="s">
        <v>30</v>
      </c>
      <c r="W85">
        <v>0</v>
      </c>
      <c r="X85" t="s">
        <v>59</v>
      </c>
    </row>
    <row r="86" spans="1:24" x14ac:dyDescent="0.3">
      <c r="A86" t="s">
        <v>138</v>
      </c>
      <c r="B86" t="s">
        <v>25</v>
      </c>
      <c r="C86" s="2">
        <v>45742.918055555558</v>
      </c>
      <c r="D86" s="2">
        <v>45742.979861111111</v>
      </c>
      <c r="E86">
        <v>1.4833333333333329</v>
      </c>
      <c r="F86">
        <v>23.88</v>
      </c>
      <c r="G86" t="b">
        <v>0</v>
      </c>
      <c r="H86" s="2">
        <v>45742</v>
      </c>
      <c r="I86">
        <v>22</v>
      </c>
      <c r="J86" t="s">
        <v>26</v>
      </c>
      <c r="K86">
        <v>0</v>
      </c>
      <c r="L86" t="s">
        <v>66</v>
      </c>
      <c r="M86">
        <v>1.4833333333333329</v>
      </c>
      <c r="N86" t="s">
        <v>28</v>
      </c>
      <c r="O86">
        <v>70</v>
      </c>
      <c r="P86" t="s">
        <v>29</v>
      </c>
      <c r="Q86">
        <v>0</v>
      </c>
      <c r="R86">
        <v>0</v>
      </c>
      <c r="S86">
        <v>0</v>
      </c>
      <c r="T86">
        <v>34.799999999999997</v>
      </c>
      <c r="U86">
        <v>23.88</v>
      </c>
      <c r="V86" t="s">
        <v>45</v>
      </c>
      <c r="W86">
        <v>0</v>
      </c>
      <c r="X86" t="s">
        <v>31</v>
      </c>
    </row>
    <row r="87" spans="1:24" x14ac:dyDescent="0.3">
      <c r="A87" t="s">
        <v>139</v>
      </c>
      <c r="B87" t="s">
        <v>40</v>
      </c>
      <c r="C87" s="2">
        <v>45743.885416666657</v>
      </c>
      <c r="D87" s="2">
        <v>45743.957638888889</v>
      </c>
      <c r="E87">
        <v>1.7333333333333329</v>
      </c>
      <c r="F87">
        <v>26.58</v>
      </c>
      <c r="G87" t="b">
        <v>0</v>
      </c>
      <c r="H87" s="2">
        <v>45743</v>
      </c>
      <c r="I87">
        <v>21</v>
      </c>
      <c r="J87" t="s">
        <v>34</v>
      </c>
      <c r="K87">
        <v>0</v>
      </c>
      <c r="L87" t="s">
        <v>66</v>
      </c>
      <c r="M87">
        <v>1.7333333333333329</v>
      </c>
      <c r="N87" t="s">
        <v>43</v>
      </c>
      <c r="O87">
        <v>100</v>
      </c>
      <c r="P87" t="s">
        <v>44</v>
      </c>
      <c r="Q87">
        <v>0</v>
      </c>
      <c r="R87">
        <v>0</v>
      </c>
      <c r="S87">
        <v>1</v>
      </c>
      <c r="T87">
        <v>22.2</v>
      </c>
      <c r="U87">
        <v>26.58</v>
      </c>
      <c r="V87" t="s">
        <v>38</v>
      </c>
      <c r="W87">
        <v>0</v>
      </c>
      <c r="X87" t="s">
        <v>59</v>
      </c>
    </row>
    <row r="88" spans="1:24" x14ac:dyDescent="0.3">
      <c r="A88" t="s">
        <v>140</v>
      </c>
      <c r="B88" t="s">
        <v>25</v>
      </c>
      <c r="C88" s="2">
        <v>45744.606249999997</v>
      </c>
      <c r="D88" s="2">
        <v>45744.824305555558</v>
      </c>
      <c r="E88">
        <v>5.2333333333333334</v>
      </c>
      <c r="F88">
        <v>84.82</v>
      </c>
      <c r="G88" t="b">
        <v>0</v>
      </c>
      <c r="H88" s="2">
        <v>45744</v>
      </c>
      <c r="I88">
        <v>14</v>
      </c>
      <c r="J88" t="s">
        <v>41</v>
      </c>
      <c r="K88">
        <v>0</v>
      </c>
      <c r="L88" t="s">
        <v>27</v>
      </c>
      <c r="M88">
        <v>5.2333333333333334</v>
      </c>
      <c r="N88" t="s">
        <v>28</v>
      </c>
      <c r="O88">
        <v>70</v>
      </c>
      <c r="P88" t="s">
        <v>29</v>
      </c>
      <c r="Q88">
        <v>0</v>
      </c>
      <c r="R88">
        <v>0</v>
      </c>
      <c r="S88">
        <v>0</v>
      </c>
      <c r="T88">
        <v>34.1</v>
      </c>
      <c r="U88">
        <v>84.82</v>
      </c>
      <c r="V88" t="s">
        <v>38</v>
      </c>
      <c r="W88">
        <v>0</v>
      </c>
      <c r="X88" t="s">
        <v>31</v>
      </c>
    </row>
    <row r="89" spans="1:24" x14ac:dyDescent="0.3">
      <c r="A89" t="s">
        <v>141</v>
      </c>
      <c r="B89" t="s">
        <v>33</v>
      </c>
      <c r="C89" s="2">
        <v>45745.560416666667</v>
      </c>
      <c r="D89" s="2">
        <v>45745.587500000001</v>
      </c>
      <c r="E89">
        <v>0.65</v>
      </c>
      <c r="F89">
        <v>10</v>
      </c>
      <c r="G89" t="b">
        <v>0</v>
      </c>
      <c r="H89" s="2">
        <v>45745</v>
      </c>
      <c r="I89">
        <v>13</v>
      </c>
      <c r="J89" t="s">
        <v>48</v>
      </c>
      <c r="K89">
        <v>1</v>
      </c>
      <c r="L89" t="s">
        <v>27</v>
      </c>
      <c r="M89">
        <v>0.65</v>
      </c>
      <c r="N89" t="s">
        <v>36</v>
      </c>
      <c r="O89">
        <v>60</v>
      </c>
      <c r="P89" t="s">
        <v>37</v>
      </c>
      <c r="Q89">
        <v>1</v>
      </c>
      <c r="R89">
        <v>0</v>
      </c>
      <c r="S89">
        <v>0</v>
      </c>
      <c r="T89">
        <v>30.6</v>
      </c>
      <c r="U89">
        <v>10</v>
      </c>
      <c r="V89" t="s">
        <v>45</v>
      </c>
      <c r="W89">
        <v>0</v>
      </c>
      <c r="X89" t="s">
        <v>31</v>
      </c>
    </row>
    <row r="90" spans="1:24" x14ac:dyDescent="0.3">
      <c r="A90" t="s">
        <v>142</v>
      </c>
      <c r="B90" t="s">
        <v>61</v>
      </c>
      <c r="C90" s="2">
        <v>45746.510416666657</v>
      </c>
      <c r="D90" s="2">
        <v>45746.588888888888</v>
      </c>
      <c r="E90">
        <v>1.8833333333333331</v>
      </c>
      <c r="F90">
        <v>19.37</v>
      </c>
      <c r="G90" t="b">
        <v>0</v>
      </c>
      <c r="H90" s="2">
        <v>45746</v>
      </c>
      <c r="I90">
        <v>12</v>
      </c>
      <c r="J90" t="s">
        <v>52</v>
      </c>
      <c r="K90">
        <v>1</v>
      </c>
      <c r="L90" t="s">
        <v>27</v>
      </c>
      <c r="M90">
        <v>1.8833333333333331</v>
      </c>
      <c r="N90" t="s">
        <v>62</v>
      </c>
      <c r="O90">
        <v>80</v>
      </c>
      <c r="P90" t="s">
        <v>37</v>
      </c>
      <c r="Q90">
        <v>1</v>
      </c>
      <c r="R90">
        <v>0</v>
      </c>
      <c r="S90">
        <v>1</v>
      </c>
      <c r="T90">
        <v>32</v>
      </c>
      <c r="U90">
        <v>19.37</v>
      </c>
      <c r="V90" t="s">
        <v>30</v>
      </c>
      <c r="W90">
        <v>0</v>
      </c>
      <c r="X90" t="s">
        <v>59</v>
      </c>
    </row>
    <row r="91" spans="1:24" x14ac:dyDescent="0.3">
      <c r="A91" t="s">
        <v>143</v>
      </c>
      <c r="B91" t="s">
        <v>25</v>
      </c>
      <c r="C91" s="2">
        <v>45747.777083333327</v>
      </c>
      <c r="D91" s="2">
        <v>45747.871527777781</v>
      </c>
      <c r="E91">
        <v>2.2666666666666671</v>
      </c>
      <c r="F91">
        <v>40.61</v>
      </c>
      <c r="G91" t="b">
        <v>0</v>
      </c>
      <c r="H91" s="2">
        <v>45747</v>
      </c>
      <c r="I91">
        <v>18</v>
      </c>
      <c r="J91" t="s">
        <v>54</v>
      </c>
      <c r="K91">
        <v>0</v>
      </c>
      <c r="L91" t="s">
        <v>42</v>
      </c>
      <c r="M91">
        <v>2.2666666666666671</v>
      </c>
      <c r="N91" t="s">
        <v>28</v>
      </c>
      <c r="O91">
        <v>70</v>
      </c>
      <c r="P91" t="s">
        <v>29</v>
      </c>
      <c r="Q91">
        <v>0</v>
      </c>
      <c r="R91">
        <v>0</v>
      </c>
      <c r="S91">
        <v>1</v>
      </c>
      <c r="T91">
        <v>32.1</v>
      </c>
      <c r="U91">
        <v>40.61</v>
      </c>
      <c r="V91" t="s">
        <v>45</v>
      </c>
      <c r="W91">
        <v>0</v>
      </c>
      <c r="X91" t="s">
        <v>59</v>
      </c>
    </row>
    <row r="92" spans="1:24" x14ac:dyDescent="0.3">
      <c r="A92" t="s">
        <v>144</v>
      </c>
      <c r="B92" t="s">
        <v>25</v>
      </c>
      <c r="C92" s="2">
        <v>45748.450694444437</v>
      </c>
      <c r="D92" s="2">
        <v>45748.510416666657</v>
      </c>
      <c r="E92">
        <v>1.4333333333333329</v>
      </c>
      <c r="F92">
        <v>27.71</v>
      </c>
      <c r="G92" t="b">
        <v>0</v>
      </c>
      <c r="H92" s="2">
        <v>45748</v>
      </c>
      <c r="I92">
        <v>10</v>
      </c>
      <c r="J92" t="s">
        <v>56</v>
      </c>
      <c r="K92">
        <v>0</v>
      </c>
      <c r="L92" t="s">
        <v>35</v>
      </c>
      <c r="M92">
        <v>1.4333333333333329</v>
      </c>
      <c r="N92" t="s">
        <v>28</v>
      </c>
      <c r="O92">
        <v>70</v>
      </c>
      <c r="P92" t="s">
        <v>29</v>
      </c>
      <c r="Q92">
        <v>0</v>
      </c>
      <c r="R92">
        <v>0</v>
      </c>
      <c r="S92">
        <v>0</v>
      </c>
      <c r="T92">
        <v>34.1</v>
      </c>
      <c r="U92">
        <v>27.71</v>
      </c>
      <c r="V92" t="s">
        <v>30</v>
      </c>
      <c r="W92">
        <v>0</v>
      </c>
      <c r="X92" t="s">
        <v>31</v>
      </c>
    </row>
    <row r="93" spans="1:24" x14ac:dyDescent="0.3">
      <c r="A93" t="s">
        <v>145</v>
      </c>
      <c r="B93" t="s">
        <v>61</v>
      </c>
      <c r="C93" s="2">
        <v>45749.365277777782</v>
      </c>
      <c r="D93" s="2">
        <v>45749.515277777777</v>
      </c>
      <c r="E93">
        <v>3.6</v>
      </c>
      <c r="F93">
        <v>57.55</v>
      </c>
      <c r="G93" t="b">
        <v>0</v>
      </c>
      <c r="H93" s="2">
        <v>45749</v>
      </c>
      <c r="I93">
        <v>8</v>
      </c>
      <c r="J93" t="s">
        <v>26</v>
      </c>
      <c r="K93">
        <v>0</v>
      </c>
      <c r="L93" t="s">
        <v>35</v>
      </c>
      <c r="M93">
        <v>3.6</v>
      </c>
      <c r="N93" t="s">
        <v>62</v>
      </c>
      <c r="O93">
        <v>80</v>
      </c>
      <c r="P93" t="s">
        <v>37</v>
      </c>
      <c r="Q93">
        <v>0</v>
      </c>
      <c r="R93">
        <v>0</v>
      </c>
      <c r="S93">
        <v>0</v>
      </c>
      <c r="T93">
        <v>26.3</v>
      </c>
      <c r="U93">
        <v>57.55</v>
      </c>
      <c r="V93" t="s">
        <v>38</v>
      </c>
      <c r="W93">
        <v>0</v>
      </c>
      <c r="X93" t="s">
        <v>31</v>
      </c>
    </row>
    <row r="94" spans="1:24" x14ac:dyDescent="0.3">
      <c r="A94" t="s">
        <v>146</v>
      </c>
      <c r="B94" t="s">
        <v>47</v>
      </c>
      <c r="C94" s="2">
        <v>45750.478472222218</v>
      </c>
      <c r="D94" s="2">
        <v>45750.583333333343</v>
      </c>
      <c r="E94">
        <v>2.5166666666666671</v>
      </c>
      <c r="F94">
        <v>42.45</v>
      </c>
      <c r="G94" t="b">
        <v>0</v>
      </c>
      <c r="H94" s="2">
        <v>45750</v>
      </c>
      <c r="I94">
        <v>11</v>
      </c>
      <c r="J94" t="s">
        <v>34</v>
      </c>
      <c r="K94">
        <v>0</v>
      </c>
      <c r="L94" t="s">
        <v>35</v>
      </c>
      <c r="M94">
        <v>2.5166666666666671</v>
      </c>
      <c r="N94" t="s">
        <v>49</v>
      </c>
      <c r="O94">
        <v>50</v>
      </c>
      <c r="P94" t="s">
        <v>50</v>
      </c>
      <c r="Q94">
        <v>0</v>
      </c>
      <c r="R94">
        <v>0</v>
      </c>
      <c r="S94">
        <v>0</v>
      </c>
      <c r="T94">
        <v>23.8</v>
      </c>
      <c r="U94">
        <v>42.45</v>
      </c>
      <c r="V94" t="s">
        <v>38</v>
      </c>
      <c r="W94">
        <v>0</v>
      </c>
      <c r="X94" t="s">
        <v>31</v>
      </c>
    </row>
    <row r="95" spans="1:24" x14ac:dyDescent="0.3">
      <c r="A95" t="s">
        <v>147</v>
      </c>
      <c r="B95" t="s">
        <v>25</v>
      </c>
      <c r="C95" s="2">
        <v>46081.720833333333</v>
      </c>
      <c r="D95" s="2">
        <v>46081.85833333333</v>
      </c>
      <c r="E95">
        <v>3.3</v>
      </c>
      <c r="F95">
        <v>52</v>
      </c>
      <c r="G95" t="b">
        <v>0</v>
      </c>
      <c r="H95" s="2">
        <v>46081</v>
      </c>
      <c r="I95">
        <v>17</v>
      </c>
      <c r="J95" t="s">
        <v>48</v>
      </c>
      <c r="K95">
        <v>1</v>
      </c>
      <c r="L95" t="s">
        <v>42</v>
      </c>
      <c r="M95">
        <v>3.3</v>
      </c>
      <c r="N95" t="s">
        <v>28</v>
      </c>
      <c r="O95">
        <v>70</v>
      </c>
      <c r="P95" t="s">
        <v>29</v>
      </c>
      <c r="Q95">
        <v>1</v>
      </c>
      <c r="R95">
        <v>0</v>
      </c>
      <c r="S95">
        <v>0</v>
      </c>
      <c r="T95">
        <v>28.5</v>
      </c>
      <c r="U95">
        <v>52</v>
      </c>
      <c r="V95" t="s">
        <v>45</v>
      </c>
      <c r="W95">
        <v>0</v>
      </c>
      <c r="X95" t="s">
        <v>31</v>
      </c>
    </row>
    <row r="96" spans="1:24" x14ac:dyDescent="0.3">
      <c r="A96" t="s">
        <v>148</v>
      </c>
      <c r="B96" t="s">
        <v>33</v>
      </c>
      <c r="C96" s="2">
        <v>45752.720833333333</v>
      </c>
      <c r="D96" s="2">
        <v>45752.779861111107</v>
      </c>
      <c r="E96">
        <v>1.416666666666667</v>
      </c>
      <c r="F96">
        <v>27.5</v>
      </c>
      <c r="G96" t="b">
        <v>0</v>
      </c>
      <c r="H96" s="2">
        <v>45752</v>
      </c>
      <c r="I96">
        <v>17</v>
      </c>
      <c r="J96" t="s">
        <v>48</v>
      </c>
      <c r="K96">
        <v>1</v>
      </c>
      <c r="L96" t="s">
        <v>42</v>
      </c>
      <c r="M96">
        <v>1.416666666666667</v>
      </c>
      <c r="N96" t="s">
        <v>36</v>
      </c>
      <c r="O96">
        <v>60</v>
      </c>
      <c r="P96" t="s">
        <v>37</v>
      </c>
      <c r="Q96">
        <v>1</v>
      </c>
      <c r="R96">
        <v>1</v>
      </c>
      <c r="S96">
        <v>0</v>
      </c>
      <c r="T96">
        <v>33.9</v>
      </c>
      <c r="U96">
        <v>27.5</v>
      </c>
      <c r="V96" t="s">
        <v>38</v>
      </c>
      <c r="W96">
        <v>1</v>
      </c>
      <c r="X96" t="s">
        <v>31</v>
      </c>
    </row>
    <row r="97" spans="1:24" x14ac:dyDescent="0.3">
      <c r="A97" t="s">
        <v>149</v>
      </c>
      <c r="B97" t="s">
        <v>40</v>
      </c>
      <c r="C97" s="2">
        <v>45753.350694444453</v>
      </c>
      <c r="D97" s="2">
        <v>45753.477083333331</v>
      </c>
      <c r="E97">
        <v>3.0333333333333332</v>
      </c>
      <c r="F97">
        <v>56.75</v>
      </c>
      <c r="G97" t="b">
        <v>0</v>
      </c>
      <c r="H97" s="2">
        <v>45753</v>
      </c>
      <c r="I97">
        <v>8</v>
      </c>
      <c r="J97" t="s">
        <v>52</v>
      </c>
      <c r="K97">
        <v>1</v>
      </c>
      <c r="L97" t="s">
        <v>35</v>
      </c>
      <c r="M97">
        <v>3.0333333333333332</v>
      </c>
      <c r="N97" t="s">
        <v>43</v>
      </c>
      <c r="O97">
        <v>100</v>
      </c>
      <c r="P97" t="s">
        <v>44</v>
      </c>
      <c r="Q97">
        <v>1</v>
      </c>
      <c r="R97">
        <v>0</v>
      </c>
      <c r="S97">
        <v>1</v>
      </c>
      <c r="T97">
        <v>21.6</v>
      </c>
      <c r="U97">
        <v>56.75</v>
      </c>
      <c r="V97" t="s">
        <v>45</v>
      </c>
      <c r="W97">
        <v>0</v>
      </c>
      <c r="X97" t="s">
        <v>59</v>
      </c>
    </row>
    <row r="98" spans="1:24" x14ac:dyDescent="0.3">
      <c r="A98" t="s">
        <v>150</v>
      </c>
      <c r="B98" t="s">
        <v>61</v>
      </c>
      <c r="C98" s="2">
        <v>45754.734027777777</v>
      </c>
      <c r="D98" s="2">
        <v>45754.870138888888</v>
      </c>
      <c r="E98">
        <v>3.2666666666666671</v>
      </c>
      <c r="F98">
        <v>49.82</v>
      </c>
      <c r="G98" t="b">
        <v>0</v>
      </c>
      <c r="H98" s="2">
        <v>45754</v>
      </c>
      <c r="I98">
        <v>17</v>
      </c>
      <c r="J98" t="s">
        <v>54</v>
      </c>
      <c r="K98">
        <v>0</v>
      </c>
      <c r="L98" t="s">
        <v>42</v>
      </c>
      <c r="M98">
        <v>3.2666666666666671</v>
      </c>
      <c r="N98" t="s">
        <v>62</v>
      </c>
      <c r="O98">
        <v>80</v>
      </c>
      <c r="P98" t="s">
        <v>37</v>
      </c>
      <c r="Q98">
        <v>0</v>
      </c>
      <c r="R98">
        <v>0</v>
      </c>
      <c r="S98">
        <v>0</v>
      </c>
      <c r="T98">
        <v>35.299999999999997</v>
      </c>
      <c r="U98">
        <v>49.82</v>
      </c>
      <c r="V98" t="s">
        <v>38</v>
      </c>
      <c r="W98">
        <v>0</v>
      </c>
      <c r="X98" t="s">
        <v>31</v>
      </c>
    </row>
    <row r="99" spans="1:24" x14ac:dyDescent="0.3">
      <c r="A99" t="s">
        <v>151</v>
      </c>
      <c r="B99" t="s">
        <v>61</v>
      </c>
      <c r="C99" s="2">
        <v>45755.738888888889</v>
      </c>
      <c r="D99" s="2">
        <v>45755.76666666667</v>
      </c>
      <c r="E99">
        <v>0.66666666666666663</v>
      </c>
      <c r="F99">
        <v>13.99</v>
      </c>
      <c r="G99" t="b">
        <v>0</v>
      </c>
      <c r="H99" s="2">
        <v>45755</v>
      </c>
      <c r="I99">
        <v>17</v>
      </c>
      <c r="J99" t="s">
        <v>56</v>
      </c>
      <c r="K99">
        <v>0</v>
      </c>
      <c r="L99" t="s">
        <v>42</v>
      </c>
      <c r="M99">
        <v>0.66666666666666663</v>
      </c>
      <c r="N99" t="s">
        <v>62</v>
      </c>
      <c r="O99">
        <v>80</v>
      </c>
      <c r="P99" t="s">
        <v>37</v>
      </c>
      <c r="Q99">
        <v>0</v>
      </c>
      <c r="R99">
        <v>0</v>
      </c>
      <c r="S99">
        <v>0</v>
      </c>
      <c r="T99">
        <v>27.9</v>
      </c>
      <c r="U99">
        <v>13.99</v>
      </c>
      <c r="V99" t="s">
        <v>38</v>
      </c>
      <c r="W99">
        <v>0</v>
      </c>
      <c r="X99" t="s">
        <v>31</v>
      </c>
    </row>
    <row r="100" spans="1:24" x14ac:dyDescent="0.3">
      <c r="A100" t="s">
        <v>152</v>
      </c>
      <c r="B100" t="s">
        <v>25</v>
      </c>
      <c r="C100" s="2">
        <v>45756.284722222219</v>
      </c>
      <c r="D100" s="2">
        <v>45756.441666666673</v>
      </c>
      <c r="E100">
        <v>3.7666666666666671</v>
      </c>
      <c r="F100">
        <v>58.94</v>
      </c>
      <c r="G100" t="b">
        <v>0</v>
      </c>
      <c r="H100" s="2">
        <v>45756</v>
      </c>
      <c r="I100">
        <v>6</v>
      </c>
      <c r="J100" t="s">
        <v>26</v>
      </c>
      <c r="K100">
        <v>0</v>
      </c>
      <c r="L100" t="s">
        <v>35</v>
      </c>
      <c r="M100">
        <v>3.7666666666666671</v>
      </c>
      <c r="N100" t="s">
        <v>28</v>
      </c>
      <c r="O100">
        <v>70</v>
      </c>
      <c r="P100" t="s">
        <v>29</v>
      </c>
      <c r="Q100">
        <v>0</v>
      </c>
      <c r="R100">
        <v>0</v>
      </c>
      <c r="S100">
        <v>0</v>
      </c>
      <c r="T100">
        <v>30</v>
      </c>
      <c r="U100">
        <v>58.94</v>
      </c>
      <c r="V100" t="s">
        <v>45</v>
      </c>
      <c r="W100">
        <v>0</v>
      </c>
      <c r="X100" t="s">
        <v>31</v>
      </c>
    </row>
    <row r="101" spans="1:24" x14ac:dyDescent="0.3">
      <c r="A101" t="s">
        <v>153</v>
      </c>
      <c r="B101" t="s">
        <v>25</v>
      </c>
      <c r="C101" s="2">
        <v>45757.493750000001</v>
      </c>
      <c r="D101" s="2">
        <v>45757.757638888892</v>
      </c>
      <c r="E101">
        <v>6.333333333333333</v>
      </c>
      <c r="F101">
        <v>91.36</v>
      </c>
      <c r="G101" t="b">
        <v>0</v>
      </c>
      <c r="H101" s="2">
        <v>45757</v>
      </c>
      <c r="I101">
        <v>11</v>
      </c>
      <c r="J101" t="s">
        <v>34</v>
      </c>
      <c r="K101">
        <v>0</v>
      </c>
      <c r="L101" t="s">
        <v>35</v>
      </c>
      <c r="M101">
        <v>6.333333333333333</v>
      </c>
      <c r="N101" t="s">
        <v>28</v>
      </c>
      <c r="O101">
        <v>70</v>
      </c>
      <c r="P101" t="s">
        <v>29</v>
      </c>
      <c r="Q101">
        <v>0</v>
      </c>
      <c r="R101">
        <v>0</v>
      </c>
      <c r="S101">
        <v>0</v>
      </c>
      <c r="T101">
        <v>34.9</v>
      </c>
      <c r="U101">
        <v>91.36</v>
      </c>
      <c r="V101" t="s">
        <v>30</v>
      </c>
      <c r="W101">
        <v>0</v>
      </c>
      <c r="X101" t="s">
        <v>31</v>
      </c>
    </row>
    <row r="102" spans="1:24" x14ac:dyDescent="0.3">
      <c r="A102" t="s">
        <v>154</v>
      </c>
      <c r="B102" t="s">
        <v>33</v>
      </c>
      <c r="C102" s="2">
        <v>45758.652083333327</v>
      </c>
      <c r="D102" s="2">
        <v>45758.896527777782</v>
      </c>
      <c r="E102">
        <v>5.8666666666666663</v>
      </c>
      <c r="F102">
        <v>83.08</v>
      </c>
      <c r="G102" t="b">
        <v>0</v>
      </c>
      <c r="H102" s="2">
        <v>45758</v>
      </c>
      <c r="I102">
        <v>15</v>
      </c>
      <c r="J102" t="s">
        <v>41</v>
      </c>
      <c r="K102">
        <v>0</v>
      </c>
      <c r="L102" t="s">
        <v>27</v>
      </c>
      <c r="M102">
        <v>5.8666666666666663</v>
      </c>
      <c r="N102" t="s">
        <v>36</v>
      </c>
      <c r="O102">
        <v>60</v>
      </c>
      <c r="P102" t="s">
        <v>37</v>
      </c>
      <c r="Q102">
        <v>0</v>
      </c>
      <c r="R102">
        <v>0</v>
      </c>
      <c r="S102">
        <v>0</v>
      </c>
      <c r="T102">
        <v>33.200000000000003</v>
      </c>
      <c r="U102">
        <v>83.08</v>
      </c>
      <c r="V102" t="s">
        <v>30</v>
      </c>
      <c r="W102">
        <v>0</v>
      </c>
      <c r="X102" t="s">
        <v>31</v>
      </c>
    </row>
    <row r="103" spans="1:24" x14ac:dyDescent="0.3">
      <c r="A103" t="s">
        <v>155</v>
      </c>
      <c r="B103" t="s">
        <v>61</v>
      </c>
      <c r="C103" s="2">
        <v>45759.53125</v>
      </c>
      <c r="D103" s="2">
        <v>45759.609722222223</v>
      </c>
      <c r="E103">
        <v>1.8833333333333331</v>
      </c>
      <c r="F103">
        <v>23.84</v>
      </c>
      <c r="G103" t="b">
        <v>0</v>
      </c>
      <c r="H103" s="2">
        <v>45759</v>
      </c>
      <c r="I103">
        <v>12</v>
      </c>
      <c r="J103" t="s">
        <v>48</v>
      </c>
      <c r="K103">
        <v>1</v>
      </c>
      <c r="L103" t="s">
        <v>27</v>
      </c>
      <c r="M103">
        <v>1.8833333333333331</v>
      </c>
      <c r="N103" t="s">
        <v>62</v>
      </c>
      <c r="O103">
        <v>80</v>
      </c>
      <c r="P103" t="s">
        <v>37</v>
      </c>
      <c r="Q103">
        <v>1</v>
      </c>
      <c r="R103">
        <v>1</v>
      </c>
      <c r="S103">
        <v>0</v>
      </c>
      <c r="T103">
        <v>32.299999999999997</v>
      </c>
      <c r="U103">
        <v>23.84</v>
      </c>
      <c r="V103" t="s">
        <v>45</v>
      </c>
      <c r="W103">
        <v>1</v>
      </c>
      <c r="X103" t="s">
        <v>31</v>
      </c>
    </row>
    <row r="104" spans="1:24" x14ac:dyDescent="0.3">
      <c r="A104" t="s">
        <v>156</v>
      </c>
      <c r="B104" t="s">
        <v>40</v>
      </c>
      <c r="C104" s="2">
        <v>45760.951388888891</v>
      </c>
      <c r="D104" s="2">
        <v>45760.996527777781</v>
      </c>
      <c r="E104">
        <v>1.083333333333333</v>
      </c>
      <c r="F104">
        <v>21.99</v>
      </c>
      <c r="G104" t="b">
        <v>0</v>
      </c>
      <c r="H104" s="2">
        <v>45760</v>
      </c>
      <c r="I104">
        <v>22</v>
      </c>
      <c r="J104" t="s">
        <v>52</v>
      </c>
      <c r="K104">
        <v>1</v>
      </c>
      <c r="L104" t="s">
        <v>66</v>
      </c>
      <c r="M104">
        <v>1.083333333333333</v>
      </c>
      <c r="N104" t="s">
        <v>43</v>
      </c>
      <c r="O104">
        <v>100</v>
      </c>
      <c r="P104" t="s">
        <v>44</v>
      </c>
      <c r="Q104">
        <v>1</v>
      </c>
      <c r="R104">
        <v>0</v>
      </c>
      <c r="S104">
        <v>1</v>
      </c>
      <c r="T104">
        <v>30.4</v>
      </c>
      <c r="U104">
        <v>21.99</v>
      </c>
      <c r="V104" t="s">
        <v>38</v>
      </c>
      <c r="W104">
        <v>0</v>
      </c>
      <c r="X104" t="s">
        <v>59</v>
      </c>
    </row>
    <row r="105" spans="1:24" x14ac:dyDescent="0.3">
      <c r="A105" t="s">
        <v>157</v>
      </c>
      <c r="B105" t="s">
        <v>40</v>
      </c>
      <c r="C105" s="2">
        <v>45761.405555555553</v>
      </c>
      <c r="D105" s="2">
        <v>45761.504166666673</v>
      </c>
      <c r="E105">
        <v>2.3666666666666671</v>
      </c>
      <c r="F105">
        <v>38.36</v>
      </c>
      <c r="G105" t="b">
        <v>0</v>
      </c>
      <c r="H105" s="2">
        <v>45761</v>
      </c>
      <c r="I105">
        <v>9</v>
      </c>
      <c r="J105" t="s">
        <v>54</v>
      </c>
      <c r="K105">
        <v>0</v>
      </c>
      <c r="L105" t="s">
        <v>35</v>
      </c>
      <c r="M105">
        <v>2.3666666666666671</v>
      </c>
      <c r="N105" t="s">
        <v>43</v>
      </c>
      <c r="O105">
        <v>100</v>
      </c>
      <c r="P105" t="s">
        <v>44</v>
      </c>
      <c r="Q105">
        <v>0</v>
      </c>
      <c r="R105">
        <v>0</v>
      </c>
      <c r="S105">
        <v>0</v>
      </c>
      <c r="T105">
        <v>29.8</v>
      </c>
      <c r="U105">
        <v>38.36</v>
      </c>
      <c r="V105" t="s">
        <v>45</v>
      </c>
      <c r="W105">
        <v>0</v>
      </c>
      <c r="X105" t="s">
        <v>31</v>
      </c>
    </row>
    <row r="106" spans="1:24" x14ac:dyDescent="0.3">
      <c r="A106" t="s">
        <v>158</v>
      </c>
      <c r="B106" t="s">
        <v>61</v>
      </c>
      <c r="C106" s="2">
        <v>45762.368055555547</v>
      </c>
      <c r="D106" s="2">
        <v>45762.519444444442</v>
      </c>
      <c r="E106">
        <v>3.6333333333333329</v>
      </c>
      <c r="F106">
        <v>50.48</v>
      </c>
      <c r="G106" t="b">
        <v>0</v>
      </c>
      <c r="H106" s="2">
        <v>45762</v>
      </c>
      <c r="I106">
        <v>8</v>
      </c>
      <c r="J106" t="s">
        <v>56</v>
      </c>
      <c r="K106">
        <v>0</v>
      </c>
      <c r="L106" t="s">
        <v>35</v>
      </c>
      <c r="M106">
        <v>3.6333333333333329</v>
      </c>
      <c r="N106" t="s">
        <v>62</v>
      </c>
      <c r="O106">
        <v>80</v>
      </c>
      <c r="P106" t="s">
        <v>37</v>
      </c>
      <c r="Q106">
        <v>0</v>
      </c>
      <c r="R106">
        <v>0</v>
      </c>
      <c r="S106">
        <v>0</v>
      </c>
      <c r="T106">
        <v>30.6</v>
      </c>
      <c r="U106">
        <v>50.48</v>
      </c>
      <c r="V106" t="s">
        <v>38</v>
      </c>
      <c r="W106">
        <v>0</v>
      </c>
      <c r="X106" t="s">
        <v>31</v>
      </c>
    </row>
    <row r="107" spans="1:24" x14ac:dyDescent="0.3">
      <c r="A107" t="s">
        <v>159</v>
      </c>
      <c r="B107" t="s">
        <v>61</v>
      </c>
      <c r="C107" s="2">
        <v>45763.35</v>
      </c>
      <c r="D107" s="2">
        <v>45763.45416666667</v>
      </c>
      <c r="E107">
        <v>2.5</v>
      </c>
      <c r="F107">
        <v>38.090000000000003</v>
      </c>
      <c r="G107" t="b">
        <v>0</v>
      </c>
      <c r="H107" s="2">
        <v>45763</v>
      </c>
      <c r="I107">
        <v>8</v>
      </c>
      <c r="J107" t="s">
        <v>26</v>
      </c>
      <c r="K107">
        <v>0</v>
      </c>
      <c r="L107" t="s">
        <v>35</v>
      </c>
      <c r="M107">
        <v>2.5</v>
      </c>
      <c r="N107" t="s">
        <v>62</v>
      </c>
      <c r="O107">
        <v>80</v>
      </c>
      <c r="P107" t="s">
        <v>37</v>
      </c>
      <c r="Q107">
        <v>0</v>
      </c>
      <c r="R107">
        <v>0</v>
      </c>
      <c r="S107">
        <v>1</v>
      </c>
      <c r="T107">
        <v>34.5</v>
      </c>
      <c r="U107">
        <v>38.090000000000003</v>
      </c>
      <c r="V107" t="s">
        <v>45</v>
      </c>
      <c r="W107">
        <v>0</v>
      </c>
      <c r="X107" t="s">
        <v>59</v>
      </c>
    </row>
    <row r="108" spans="1:24" x14ac:dyDescent="0.3">
      <c r="A108" t="s">
        <v>160</v>
      </c>
      <c r="B108" t="s">
        <v>40</v>
      </c>
      <c r="C108" s="2">
        <v>45764.897222222222</v>
      </c>
      <c r="D108" s="2">
        <v>45764.992361111108</v>
      </c>
      <c r="E108">
        <v>2.2833333333333332</v>
      </c>
      <c r="F108">
        <v>36.799999999999997</v>
      </c>
      <c r="G108" t="b">
        <v>0</v>
      </c>
      <c r="H108" s="2">
        <v>45764</v>
      </c>
      <c r="I108">
        <v>21</v>
      </c>
      <c r="J108" t="s">
        <v>34</v>
      </c>
      <c r="K108">
        <v>0</v>
      </c>
      <c r="L108" t="s">
        <v>66</v>
      </c>
      <c r="M108">
        <v>2.2833333333333332</v>
      </c>
      <c r="N108" t="s">
        <v>43</v>
      </c>
      <c r="O108">
        <v>100</v>
      </c>
      <c r="P108" t="s">
        <v>44</v>
      </c>
      <c r="Q108">
        <v>0</v>
      </c>
      <c r="R108">
        <v>0</v>
      </c>
      <c r="S108">
        <v>1</v>
      </c>
      <c r="T108">
        <v>29</v>
      </c>
      <c r="U108">
        <v>36.799999999999997</v>
      </c>
      <c r="V108" t="s">
        <v>30</v>
      </c>
      <c r="W108">
        <v>0</v>
      </c>
      <c r="X108" t="s">
        <v>59</v>
      </c>
    </row>
    <row r="109" spans="1:24" x14ac:dyDescent="0.3">
      <c r="A109" t="s">
        <v>161</v>
      </c>
      <c r="B109" t="s">
        <v>61</v>
      </c>
      <c r="C109" s="2">
        <v>45765.811111111107</v>
      </c>
      <c r="D109" s="2">
        <v>45765.916666666657</v>
      </c>
      <c r="E109">
        <v>2.5333333333333332</v>
      </c>
      <c r="F109">
        <v>36.880000000000003</v>
      </c>
      <c r="G109" t="b">
        <v>0</v>
      </c>
      <c r="H109" s="2">
        <v>45765</v>
      </c>
      <c r="I109">
        <v>19</v>
      </c>
      <c r="J109" t="s">
        <v>41</v>
      </c>
      <c r="K109">
        <v>0</v>
      </c>
      <c r="L109" t="s">
        <v>42</v>
      </c>
      <c r="M109">
        <v>2.5333333333333332</v>
      </c>
      <c r="N109" t="s">
        <v>62</v>
      </c>
      <c r="O109">
        <v>80</v>
      </c>
      <c r="P109" t="s">
        <v>37</v>
      </c>
      <c r="Q109">
        <v>0</v>
      </c>
      <c r="R109">
        <v>0</v>
      </c>
      <c r="S109">
        <v>0</v>
      </c>
      <c r="T109">
        <v>28.8</v>
      </c>
      <c r="U109">
        <v>36.880000000000003</v>
      </c>
      <c r="V109" t="s">
        <v>38</v>
      </c>
      <c r="W109">
        <v>0</v>
      </c>
      <c r="X109" t="s">
        <v>31</v>
      </c>
    </row>
    <row r="110" spans="1:24" x14ac:dyDescent="0.3">
      <c r="A110" t="s">
        <v>162</v>
      </c>
      <c r="B110" t="s">
        <v>33</v>
      </c>
      <c r="C110" s="2">
        <v>45766.771527777782</v>
      </c>
      <c r="D110" s="2">
        <v>45766.790277777778</v>
      </c>
      <c r="E110">
        <v>0.45</v>
      </c>
      <c r="F110">
        <v>10.99</v>
      </c>
      <c r="G110" t="b">
        <v>0</v>
      </c>
      <c r="H110" s="2">
        <v>45766</v>
      </c>
      <c r="I110">
        <v>18</v>
      </c>
      <c r="J110" t="s">
        <v>48</v>
      </c>
      <c r="K110">
        <v>1</v>
      </c>
      <c r="L110" t="s">
        <v>42</v>
      </c>
      <c r="M110">
        <v>0.45</v>
      </c>
      <c r="N110" t="s">
        <v>36</v>
      </c>
      <c r="O110">
        <v>60</v>
      </c>
      <c r="P110" t="s">
        <v>37</v>
      </c>
      <c r="Q110">
        <v>1</v>
      </c>
      <c r="R110">
        <v>1</v>
      </c>
      <c r="S110">
        <v>0</v>
      </c>
      <c r="T110">
        <v>28.6</v>
      </c>
      <c r="U110">
        <v>10.99</v>
      </c>
      <c r="V110" t="s">
        <v>30</v>
      </c>
      <c r="W110">
        <v>1</v>
      </c>
      <c r="X110" t="s">
        <v>31</v>
      </c>
    </row>
    <row r="111" spans="1:24" x14ac:dyDescent="0.3">
      <c r="A111" t="s">
        <v>163</v>
      </c>
      <c r="B111" t="s">
        <v>47</v>
      </c>
      <c r="C111" s="2">
        <v>45767.484027777777</v>
      </c>
      <c r="D111" s="2">
        <v>45767.732638888891</v>
      </c>
      <c r="E111">
        <v>5.9666666666666668</v>
      </c>
      <c r="F111">
        <v>84.89</v>
      </c>
      <c r="G111" t="b">
        <v>0</v>
      </c>
      <c r="H111" s="2">
        <v>45767</v>
      </c>
      <c r="I111">
        <v>11</v>
      </c>
      <c r="J111" t="s">
        <v>52</v>
      </c>
      <c r="K111">
        <v>1</v>
      </c>
      <c r="L111" t="s">
        <v>35</v>
      </c>
      <c r="M111">
        <v>5.9666666666666668</v>
      </c>
      <c r="N111" t="s">
        <v>49</v>
      </c>
      <c r="O111">
        <v>50</v>
      </c>
      <c r="P111" t="s">
        <v>50</v>
      </c>
      <c r="Q111">
        <v>1</v>
      </c>
      <c r="R111">
        <v>0</v>
      </c>
      <c r="S111">
        <v>1</v>
      </c>
      <c r="T111">
        <v>28.9</v>
      </c>
      <c r="U111">
        <v>84.89</v>
      </c>
      <c r="V111" t="s">
        <v>45</v>
      </c>
      <c r="W111">
        <v>0</v>
      </c>
      <c r="X111" t="s">
        <v>59</v>
      </c>
    </row>
    <row r="112" spans="1:24" x14ac:dyDescent="0.3">
      <c r="A112" t="s">
        <v>164</v>
      </c>
      <c r="B112" t="s">
        <v>47</v>
      </c>
      <c r="C112" s="2">
        <v>45768.472222222219</v>
      </c>
      <c r="D112" s="2">
        <v>45768.542361111111</v>
      </c>
      <c r="E112">
        <v>1.6833333333333329</v>
      </c>
      <c r="F112">
        <v>29.71</v>
      </c>
      <c r="G112" t="b">
        <v>0</v>
      </c>
      <c r="H112" s="2">
        <v>45768</v>
      </c>
      <c r="I112">
        <v>11</v>
      </c>
      <c r="J112" t="s">
        <v>54</v>
      </c>
      <c r="K112">
        <v>0</v>
      </c>
      <c r="L112" t="s">
        <v>35</v>
      </c>
      <c r="M112">
        <v>1.6833333333333329</v>
      </c>
      <c r="N112" t="s">
        <v>49</v>
      </c>
      <c r="O112">
        <v>50</v>
      </c>
      <c r="P112" t="s">
        <v>50</v>
      </c>
      <c r="Q112">
        <v>0</v>
      </c>
      <c r="R112">
        <v>0</v>
      </c>
      <c r="S112">
        <v>0</v>
      </c>
      <c r="T112">
        <v>32.299999999999997</v>
      </c>
      <c r="U112">
        <v>29.71</v>
      </c>
      <c r="V112" t="s">
        <v>38</v>
      </c>
      <c r="W112">
        <v>0</v>
      </c>
      <c r="X112" t="s">
        <v>31</v>
      </c>
    </row>
    <row r="113" spans="1:24" x14ac:dyDescent="0.3">
      <c r="A113" t="s">
        <v>165</v>
      </c>
      <c r="B113" t="s">
        <v>25</v>
      </c>
      <c r="C113" s="2">
        <v>45769.265277777777</v>
      </c>
      <c r="D113" s="2">
        <v>45769.368055555547</v>
      </c>
      <c r="E113">
        <v>2.4666666666666668</v>
      </c>
      <c r="F113">
        <v>35.17</v>
      </c>
      <c r="G113" t="b">
        <v>0</v>
      </c>
      <c r="H113" s="2">
        <v>45769</v>
      </c>
      <c r="I113">
        <v>6</v>
      </c>
      <c r="J113" t="s">
        <v>56</v>
      </c>
      <c r="K113">
        <v>0</v>
      </c>
      <c r="L113" t="s">
        <v>35</v>
      </c>
      <c r="M113">
        <v>2.4666666666666668</v>
      </c>
      <c r="N113" t="s">
        <v>28</v>
      </c>
      <c r="O113">
        <v>70</v>
      </c>
      <c r="P113" t="s">
        <v>29</v>
      </c>
      <c r="Q113">
        <v>0</v>
      </c>
      <c r="R113">
        <v>0</v>
      </c>
      <c r="S113">
        <v>0</v>
      </c>
      <c r="T113">
        <v>33.200000000000003</v>
      </c>
      <c r="U113">
        <v>35.17</v>
      </c>
      <c r="V113" t="s">
        <v>38</v>
      </c>
      <c r="W113">
        <v>0</v>
      </c>
      <c r="X113" t="s">
        <v>31</v>
      </c>
    </row>
    <row r="114" spans="1:24" x14ac:dyDescent="0.3">
      <c r="A114" t="s">
        <v>166</v>
      </c>
      <c r="B114" t="s">
        <v>40</v>
      </c>
      <c r="C114" s="2">
        <v>45770.606249999997</v>
      </c>
      <c r="D114" s="2">
        <v>45770.673611111109</v>
      </c>
      <c r="E114">
        <v>1.6166666666666669</v>
      </c>
      <c r="F114">
        <v>21.63</v>
      </c>
      <c r="G114" t="b">
        <v>0</v>
      </c>
      <c r="H114" s="2">
        <v>45770</v>
      </c>
      <c r="I114">
        <v>14</v>
      </c>
      <c r="J114" t="s">
        <v>26</v>
      </c>
      <c r="K114">
        <v>0</v>
      </c>
      <c r="L114" t="s">
        <v>27</v>
      </c>
      <c r="M114">
        <v>1.6166666666666669</v>
      </c>
      <c r="N114" t="s">
        <v>43</v>
      </c>
      <c r="O114">
        <v>100</v>
      </c>
      <c r="P114" t="s">
        <v>44</v>
      </c>
      <c r="Q114">
        <v>0</v>
      </c>
      <c r="R114">
        <v>0</v>
      </c>
      <c r="S114">
        <v>0</v>
      </c>
      <c r="T114">
        <v>29.9</v>
      </c>
      <c r="U114">
        <v>21.63</v>
      </c>
      <c r="V114" t="s">
        <v>45</v>
      </c>
      <c r="W114">
        <v>0</v>
      </c>
      <c r="X114" t="s">
        <v>31</v>
      </c>
    </row>
    <row r="115" spans="1:24" x14ac:dyDescent="0.3">
      <c r="A115" t="s">
        <v>167</v>
      </c>
      <c r="B115" t="s">
        <v>33</v>
      </c>
      <c r="C115" s="2">
        <v>45771.459722222222</v>
      </c>
      <c r="D115" s="2">
        <v>45771.57708333333</v>
      </c>
      <c r="E115">
        <v>2.8166666666666669</v>
      </c>
      <c r="F115">
        <v>46.15</v>
      </c>
      <c r="G115" t="b">
        <v>0</v>
      </c>
      <c r="H115" s="2">
        <v>45771</v>
      </c>
      <c r="I115">
        <v>11</v>
      </c>
      <c r="J115" t="s">
        <v>34</v>
      </c>
      <c r="K115">
        <v>0</v>
      </c>
      <c r="L115" t="s">
        <v>35</v>
      </c>
      <c r="M115">
        <v>2.8166666666666669</v>
      </c>
      <c r="N115" t="s">
        <v>36</v>
      </c>
      <c r="O115">
        <v>60</v>
      </c>
      <c r="P115" t="s">
        <v>37</v>
      </c>
      <c r="Q115">
        <v>0</v>
      </c>
      <c r="R115">
        <v>0</v>
      </c>
      <c r="S115">
        <v>0</v>
      </c>
      <c r="T115">
        <v>36.9</v>
      </c>
      <c r="U115">
        <v>46.15</v>
      </c>
      <c r="V115" t="s">
        <v>45</v>
      </c>
      <c r="W115">
        <v>0</v>
      </c>
      <c r="X115" t="s">
        <v>31</v>
      </c>
    </row>
    <row r="116" spans="1:24" x14ac:dyDescent="0.3">
      <c r="A116" t="s">
        <v>168</v>
      </c>
      <c r="B116" t="s">
        <v>61</v>
      </c>
      <c r="C116" s="2">
        <v>45772.631944444453</v>
      </c>
      <c r="D116" s="2">
        <v>45772.679166666669</v>
      </c>
      <c r="E116">
        <v>1.1333333333333331</v>
      </c>
      <c r="F116">
        <v>25.92</v>
      </c>
      <c r="G116" t="b">
        <v>0</v>
      </c>
      <c r="H116" s="2">
        <v>45772</v>
      </c>
      <c r="I116">
        <v>15</v>
      </c>
      <c r="J116" t="s">
        <v>41</v>
      </c>
      <c r="K116">
        <v>0</v>
      </c>
      <c r="L116" t="s">
        <v>27</v>
      </c>
      <c r="M116">
        <v>1.1333333333333331</v>
      </c>
      <c r="N116" t="s">
        <v>62</v>
      </c>
      <c r="O116">
        <v>80</v>
      </c>
      <c r="P116" t="s">
        <v>37</v>
      </c>
      <c r="Q116">
        <v>0</v>
      </c>
      <c r="R116">
        <v>0</v>
      </c>
      <c r="S116">
        <v>0</v>
      </c>
      <c r="T116">
        <v>29.5</v>
      </c>
      <c r="U116">
        <v>25.92</v>
      </c>
      <c r="V116" t="s">
        <v>45</v>
      </c>
      <c r="W116">
        <v>0</v>
      </c>
      <c r="X116" t="s">
        <v>31</v>
      </c>
    </row>
    <row r="117" spans="1:24" x14ac:dyDescent="0.3">
      <c r="A117" t="s">
        <v>169</v>
      </c>
      <c r="B117" t="s">
        <v>40</v>
      </c>
      <c r="C117" s="2">
        <v>45773.95208333333</v>
      </c>
      <c r="D117" s="2">
        <v>45773.999305555553</v>
      </c>
      <c r="E117">
        <v>1.1333333333333331</v>
      </c>
      <c r="F117">
        <v>30.48</v>
      </c>
      <c r="G117" t="b">
        <v>0</v>
      </c>
      <c r="H117" s="2">
        <v>45773</v>
      </c>
      <c r="I117">
        <v>22</v>
      </c>
      <c r="J117" t="s">
        <v>48</v>
      </c>
      <c r="K117">
        <v>1</v>
      </c>
      <c r="L117" t="s">
        <v>66</v>
      </c>
      <c r="M117">
        <v>1.1333333333333331</v>
      </c>
      <c r="N117" t="s">
        <v>43</v>
      </c>
      <c r="O117">
        <v>100</v>
      </c>
      <c r="P117" t="s">
        <v>44</v>
      </c>
      <c r="Q117">
        <v>1</v>
      </c>
      <c r="R117">
        <v>1</v>
      </c>
      <c r="S117">
        <v>1</v>
      </c>
      <c r="T117">
        <v>35.4</v>
      </c>
      <c r="U117">
        <v>30.48</v>
      </c>
      <c r="V117" t="s">
        <v>38</v>
      </c>
      <c r="W117">
        <v>1</v>
      </c>
      <c r="X117" t="s">
        <v>59</v>
      </c>
    </row>
    <row r="118" spans="1:24" x14ac:dyDescent="0.3">
      <c r="A118" t="s">
        <v>170</v>
      </c>
      <c r="B118" t="s">
        <v>47</v>
      </c>
      <c r="C118" s="2">
        <v>45774.656944444447</v>
      </c>
      <c r="D118" s="2">
        <v>45774.76666666667</v>
      </c>
      <c r="E118">
        <v>2.6333333333333329</v>
      </c>
      <c r="F118">
        <v>46.94</v>
      </c>
      <c r="G118" t="b">
        <v>0</v>
      </c>
      <c r="H118" s="2">
        <v>45774</v>
      </c>
      <c r="I118">
        <v>15</v>
      </c>
      <c r="J118" t="s">
        <v>52</v>
      </c>
      <c r="K118">
        <v>1</v>
      </c>
      <c r="L118" t="s">
        <v>27</v>
      </c>
      <c r="M118">
        <v>2.6333333333333329</v>
      </c>
      <c r="N118" t="s">
        <v>49</v>
      </c>
      <c r="O118">
        <v>50</v>
      </c>
      <c r="P118" t="s">
        <v>50</v>
      </c>
      <c r="Q118">
        <v>1</v>
      </c>
      <c r="R118">
        <v>0</v>
      </c>
      <c r="S118">
        <v>0</v>
      </c>
      <c r="T118">
        <v>25.7</v>
      </c>
      <c r="U118">
        <v>46.94</v>
      </c>
      <c r="V118" t="s">
        <v>45</v>
      </c>
      <c r="W118">
        <v>0</v>
      </c>
      <c r="X118" t="s">
        <v>31</v>
      </c>
    </row>
    <row r="119" spans="1:24" x14ac:dyDescent="0.3">
      <c r="A119" t="s">
        <v>171</v>
      </c>
      <c r="B119" t="s">
        <v>33</v>
      </c>
      <c r="C119" s="2">
        <v>45775.867361111108</v>
      </c>
      <c r="D119" s="2">
        <v>45775.922222222223</v>
      </c>
      <c r="E119">
        <v>1.3166666666666671</v>
      </c>
      <c r="F119">
        <v>24.85</v>
      </c>
      <c r="G119" t="b">
        <v>0</v>
      </c>
      <c r="H119" s="2">
        <v>45775</v>
      </c>
      <c r="I119">
        <v>20</v>
      </c>
      <c r="J119" t="s">
        <v>54</v>
      </c>
      <c r="K119">
        <v>0</v>
      </c>
      <c r="L119" t="s">
        <v>42</v>
      </c>
      <c r="M119">
        <v>1.3166666666666671</v>
      </c>
      <c r="N119" t="s">
        <v>36</v>
      </c>
      <c r="O119">
        <v>60</v>
      </c>
      <c r="P119" t="s">
        <v>37</v>
      </c>
      <c r="Q119">
        <v>0</v>
      </c>
      <c r="R119">
        <v>0</v>
      </c>
      <c r="S119">
        <v>1</v>
      </c>
      <c r="T119">
        <v>29.6</v>
      </c>
      <c r="U119">
        <v>24.85</v>
      </c>
      <c r="V119" t="s">
        <v>45</v>
      </c>
      <c r="W119">
        <v>0</v>
      </c>
      <c r="X119" t="s">
        <v>59</v>
      </c>
    </row>
    <row r="120" spans="1:24" x14ac:dyDescent="0.3">
      <c r="A120" t="s">
        <v>172</v>
      </c>
      <c r="B120" t="s">
        <v>47</v>
      </c>
      <c r="C120" s="2">
        <v>45776.853472222218</v>
      </c>
      <c r="D120" s="2">
        <v>45776.926388888889</v>
      </c>
      <c r="E120">
        <v>1.75</v>
      </c>
      <c r="F120">
        <v>27.93</v>
      </c>
      <c r="G120" t="b">
        <v>0</v>
      </c>
      <c r="H120" s="2">
        <v>45776</v>
      </c>
      <c r="I120">
        <v>20</v>
      </c>
      <c r="J120" t="s">
        <v>56</v>
      </c>
      <c r="K120">
        <v>0</v>
      </c>
      <c r="L120" t="s">
        <v>42</v>
      </c>
      <c r="M120">
        <v>1.75</v>
      </c>
      <c r="N120" t="s">
        <v>49</v>
      </c>
      <c r="O120">
        <v>50</v>
      </c>
      <c r="P120" t="s">
        <v>50</v>
      </c>
      <c r="Q120">
        <v>0</v>
      </c>
      <c r="R120">
        <v>0</v>
      </c>
      <c r="S120">
        <v>0</v>
      </c>
      <c r="T120">
        <v>35.6</v>
      </c>
      <c r="U120">
        <v>27.93</v>
      </c>
      <c r="V120" t="s">
        <v>38</v>
      </c>
      <c r="W120">
        <v>0</v>
      </c>
      <c r="X120" t="s">
        <v>31</v>
      </c>
    </row>
    <row r="121" spans="1:24" x14ac:dyDescent="0.3">
      <c r="A121" t="s">
        <v>173</v>
      </c>
      <c r="B121" t="s">
        <v>47</v>
      </c>
      <c r="C121" s="2">
        <v>45777.716666666667</v>
      </c>
      <c r="D121" s="2">
        <v>45777.807638888888</v>
      </c>
      <c r="E121">
        <v>2.1833333333333331</v>
      </c>
      <c r="F121">
        <v>42.36</v>
      </c>
      <c r="G121" t="b">
        <v>0</v>
      </c>
      <c r="H121" s="2">
        <v>45777</v>
      </c>
      <c r="I121">
        <v>17</v>
      </c>
      <c r="J121" t="s">
        <v>26</v>
      </c>
      <c r="K121">
        <v>0</v>
      </c>
      <c r="L121" t="s">
        <v>42</v>
      </c>
      <c r="M121">
        <v>2.1833333333333331</v>
      </c>
      <c r="N121" t="s">
        <v>49</v>
      </c>
      <c r="O121">
        <v>50</v>
      </c>
      <c r="P121" t="s">
        <v>50</v>
      </c>
      <c r="Q121">
        <v>0</v>
      </c>
      <c r="R121">
        <v>0</v>
      </c>
      <c r="S121">
        <v>1</v>
      </c>
      <c r="T121">
        <v>27.7</v>
      </c>
      <c r="U121">
        <v>42.36</v>
      </c>
      <c r="V121" t="s">
        <v>38</v>
      </c>
      <c r="W121">
        <v>0</v>
      </c>
      <c r="X121" t="s">
        <v>59</v>
      </c>
    </row>
    <row r="122" spans="1:24" x14ac:dyDescent="0.3">
      <c r="A122" t="s">
        <v>174</v>
      </c>
      <c r="B122" t="s">
        <v>47</v>
      </c>
      <c r="C122" s="2">
        <v>45778.472222222219</v>
      </c>
      <c r="D122" s="2">
        <v>45778.546527777777</v>
      </c>
      <c r="E122">
        <v>1.783333333333333</v>
      </c>
      <c r="F122">
        <v>26.34</v>
      </c>
      <c r="G122" t="b">
        <v>0</v>
      </c>
      <c r="H122" s="2">
        <v>45778</v>
      </c>
      <c r="I122">
        <v>11</v>
      </c>
      <c r="J122" t="s">
        <v>34</v>
      </c>
      <c r="K122">
        <v>0</v>
      </c>
      <c r="L122" t="s">
        <v>35</v>
      </c>
      <c r="M122">
        <v>1.783333333333333</v>
      </c>
      <c r="N122" t="s">
        <v>49</v>
      </c>
      <c r="O122">
        <v>50</v>
      </c>
      <c r="P122" t="s">
        <v>50</v>
      </c>
      <c r="Q122">
        <v>0</v>
      </c>
      <c r="R122">
        <v>0</v>
      </c>
      <c r="S122">
        <v>0</v>
      </c>
      <c r="T122">
        <v>28.4</v>
      </c>
      <c r="U122">
        <v>26.34</v>
      </c>
      <c r="V122" t="s">
        <v>45</v>
      </c>
      <c r="W122">
        <v>0</v>
      </c>
      <c r="X122" t="s">
        <v>31</v>
      </c>
    </row>
    <row r="123" spans="1:24" x14ac:dyDescent="0.3">
      <c r="A123" t="s">
        <v>175</v>
      </c>
      <c r="B123" t="s">
        <v>33</v>
      </c>
      <c r="C123" s="2">
        <v>45779.924305555563</v>
      </c>
      <c r="D123" s="2">
        <v>45779.93472222222</v>
      </c>
      <c r="E123">
        <v>0.25</v>
      </c>
      <c r="F123">
        <v>12.17</v>
      </c>
      <c r="G123" t="b">
        <v>0</v>
      </c>
      <c r="H123" s="2">
        <v>45779</v>
      </c>
      <c r="I123">
        <v>22</v>
      </c>
      <c r="J123" t="s">
        <v>41</v>
      </c>
      <c r="K123">
        <v>0</v>
      </c>
      <c r="L123" t="s">
        <v>66</v>
      </c>
      <c r="M123">
        <v>0.25</v>
      </c>
      <c r="N123" t="s">
        <v>36</v>
      </c>
      <c r="O123">
        <v>60</v>
      </c>
      <c r="P123" t="s">
        <v>37</v>
      </c>
      <c r="Q123">
        <v>0</v>
      </c>
      <c r="R123">
        <v>0</v>
      </c>
      <c r="S123">
        <v>0</v>
      </c>
      <c r="T123">
        <v>33.799999999999997</v>
      </c>
      <c r="U123">
        <v>12.17</v>
      </c>
      <c r="V123" t="s">
        <v>38</v>
      </c>
      <c r="W123">
        <v>0</v>
      </c>
      <c r="X123" t="s">
        <v>31</v>
      </c>
    </row>
    <row r="124" spans="1:24" x14ac:dyDescent="0.3">
      <c r="A124" t="s">
        <v>176</v>
      </c>
      <c r="B124" t="s">
        <v>25</v>
      </c>
      <c r="C124" s="2">
        <v>45780.782638888893</v>
      </c>
      <c r="D124" s="2">
        <v>45780.821527777778</v>
      </c>
      <c r="E124">
        <v>0.93333333333333335</v>
      </c>
      <c r="F124">
        <v>10</v>
      </c>
      <c r="G124" t="b">
        <v>0</v>
      </c>
      <c r="H124" s="2">
        <v>45780</v>
      </c>
      <c r="I124">
        <v>18</v>
      </c>
      <c r="J124" t="s">
        <v>48</v>
      </c>
      <c r="K124">
        <v>1</v>
      </c>
      <c r="L124" t="s">
        <v>42</v>
      </c>
      <c r="M124">
        <v>0.93333333333333335</v>
      </c>
      <c r="N124" t="s">
        <v>28</v>
      </c>
      <c r="O124">
        <v>70</v>
      </c>
      <c r="P124" t="s">
        <v>29</v>
      </c>
      <c r="Q124">
        <v>1</v>
      </c>
      <c r="R124">
        <v>0</v>
      </c>
      <c r="S124">
        <v>0</v>
      </c>
      <c r="T124">
        <v>26.8</v>
      </c>
      <c r="U124">
        <v>10</v>
      </c>
      <c r="V124" t="s">
        <v>38</v>
      </c>
      <c r="W124">
        <v>0</v>
      </c>
      <c r="X124" t="s">
        <v>31</v>
      </c>
    </row>
    <row r="125" spans="1:24" x14ac:dyDescent="0.3">
      <c r="A125" t="s">
        <v>177</v>
      </c>
      <c r="B125" t="s">
        <v>40</v>
      </c>
      <c r="C125" s="2">
        <v>45781.690972222219</v>
      </c>
      <c r="D125" s="2">
        <v>45781.79791666667</v>
      </c>
      <c r="E125">
        <v>2.5666666666666669</v>
      </c>
      <c r="F125">
        <v>45.29</v>
      </c>
      <c r="G125" t="b">
        <v>0</v>
      </c>
      <c r="H125" s="2">
        <v>45781</v>
      </c>
      <c r="I125">
        <v>16</v>
      </c>
      <c r="J125" t="s">
        <v>52</v>
      </c>
      <c r="K125">
        <v>1</v>
      </c>
      <c r="L125" t="s">
        <v>27</v>
      </c>
      <c r="M125">
        <v>2.5666666666666669</v>
      </c>
      <c r="N125" t="s">
        <v>43</v>
      </c>
      <c r="O125">
        <v>100</v>
      </c>
      <c r="P125" t="s">
        <v>44</v>
      </c>
      <c r="Q125">
        <v>1</v>
      </c>
      <c r="R125">
        <v>0</v>
      </c>
      <c r="S125">
        <v>0</v>
      </c>
      <c r="T125">
        <v>28.7</v>
      </c>
      <c r="U125">
        <v>45.29</v>
      </c>
      <c r="V125" t="s">
        <v>38</v>
      </c>
      <c r="W125">
        <v>0</v>
      </c>
      <c r="X125" t="s">
        <v>31</v>
      </c>
    </row>
    <row r="126" spans="1:24" x14ac:dyDescent="0.3">
      <c r="A126" t="s">
        <v>178</v>
      </c>
      <c r="B126" t="s">
        <v>61</v>
      </c>
      <c r="C126" s="2">
        <v>45782.65347222222</v>
      </c>
      <c r="D126" s="2">
        <v>45782.707638888889</v>
      </c>
      <c r="E126">
        <v>1.3</v>
      </c>
      <c r="F126">
        <v>27.16</v>
      </c>
      <c r="G126" t="b">
        <v>0</v>
      </c>
      <c r="H126" s="2">
        <v>45782</v>
      </c>
      <c r="I126">
        <v>15</v>
      </c>
      <c r="J126" t="s">
        <v>54</v>
      </c>
      <c r="K126">
        <v>0</v>
      </c>
      <c r="L126" t="s">
        <v>27</v>
      </c>
      <c r="M126">
        <v>1.3</v>
      </c>
      <c r="N126" t="s">
        <v>62</v>
      </c>
      <c r="O126">
        <v>80</v>
      </c>
      <c r="P126" t="s">
        <v>37</v>
      </c>
      <c r="Q126">
        <v>0</v>
      </c>
      <c r="R126">
        <v>0</v>
      </c>
      <c r="S126">
        <v>0</v>
      </c>
      <c r="T126">
        <v>34.1</v>
      </c>
      <c r="U126">
        <v>27.16</v>
      </c>
      <c r="V126" t="s">
        <v>45</v>
      </c>
      <c r="W126">
        <v>0</v>
      </c>
      <c r="X126" t="s">
        <v>31</v>
      </c>
    </row>
    <row r="127" spans="1:24" x14ac:dyDescent="0.3">
      <c r="A127" t="s">
        <v>179</v>
      </c>
      <c r="B127" t="s">
        <v>47</v>
      </c>
      <c r="C127" s="2">
        <v>45783.722222222219</v>
      </c>
      <c r="D127" s="2">
        <v>45783.76666666667</v>
      </c>
      <c r="E127">
        <v>1.0666666666666671</v>
      </c>
      <c r="F127">
        <v>31.7</v>
      </c>
      <c r="G127" t="b">
        <v>0</v>
      </c>
      <c r="H127" s="2">
        <v>45783</v>
      </c>
      <c r="I127">
        <v>17</v>
      </c>
      <c r="J127" t="s">
        <v>56</v>
      </c>
      <c r="K127">
        <v>0</v>
      </c>
      <c r="L127" t="s">
        <v>42</v>
      </c>
      <c r="M127">
        <v>1.0666666666666671</v>
      </c>
      <c r="N127" t="s">
        <v>49</v>
      </c>
      <c r="O127">
        <v>50</v>
      </c>
      <c r="P127" t="s">
        <v>50</v>
      </c>
      <c r="Q127">
        <v>0</v>
      </c>
      <c r="R127">
        <v>0</v>
      </c>
      <c r="S127">
        <v>0</v>
      </c>
      <c r="T127">
        <v>28.1</v>
      </c>
      <c r="U127">
        <v>31.7</v>
      </c>
      <c r="V127" t="s">
        <v>30</v>
      </c>
      <c r="W127">
        <v>0</v>
      </c>
      <c r="X127" t="s">
        <v>31</v>
      </c>
    </row>
    <row r="128" spans="1:24" x14ac:dyDescent="0.3">
      <c r="A128" t="s">
        <v>180</v>
      </c>
      <c r="B128" t="s">
        <v>61</v>
      </c>
      <c r="C128" s="2">
        <v>45784.331250000003</v>
      </c>
      <c r="D128" s="2">
        <v>45784.461805555547</v>
      </c>
      <c r="E128">
        <v>3.1333333333333329</v>
      </c>
      <c r="F128">
        <v>54.99</v>
      </c>
      <c r="G128" t="b">
        <v>0</v>
      </c>
      <c r="H128" s="2">
        <v>45784</v>
      </c>
      <c r="I128">
        <v>7</v>
      </c>
      <c r="J128" t="s">
        <v>26</v>
      </c>
      <c r="K128">
        <v>0</v>
      </c>
      <c r="L128" t="s">
        <v>35</v>
      </c>
      <c r="M128">
        <v>3.1333333333333329</v>
      </c>
      <c r="N128" t="s">
        <v>62</v>
      </c>
      <c r="O128">
        <v>80</v>
      </c>
      <c r="P128" t="s">
        <v>37</v>
      </c>
      <c r="Q128">
        <v>0</v>
      </c>
      <c r="R128">
        <v>0</v>
      </c>
      <c r="S128">
        <v>0</v>
      </c>
      <c r="T128">
        <v>24.1</v>
      </c>
      <c r="U128">
        <v>54.99</v>
      </c>
      <c r="V128" t="s">
        <v>30</v>
      </c>
      <c r="W128">
        <v>0</v>
      </c>
      <c r="X128" t="s">
        <v>31</v>
      </c>
    </row>
    <row r="129" spans="1:24" x14ac:dyDescent="0.3">
      <c r="A129" t="s">
        <v>181</v>
      </c>
      <c r="B129" t="s">
        <v>47</v>
      </c>
      <c r="C129" s="2">
        <v>45785.664583333331</v>
      </c>
      <c r="D129" s="2">
        <v>45785.78125</v>
      </c>
      <c r="E129">
        <v>2.8</v>
      </c>
      <c r="F129">
        <v>39.229999999999997</v>
      </c>
      <c r="G129" t="b">
        <v>0</v>
      </c>
      <c r="H129" s="2">
        <v>45785</v>
      </c>
      <c r="I129">
        <v>15</v>
      </c>
      <c r="J129" t="s">
        <v>34</v>
      </c>
      <c r="K129">
        <v>0</v>
      </c>
      <c r="L129" t="s">
        <v>27</v>
      </c>
      <c r="M129">
        <v>2.8</v>
      </c>
      <c r="N129" t="s">
        <v>49</v>
      </c>
      <c r="O129">
        <v>50</v>
      </c>
      <c r="P129" t="s">
        <v>50</v>
      </c>
      <c r="Q129">
        <v>0</v>
      </c>
      <c r="R129">
        <v>0</v>
      </c>
      <c r="S129">
        <v>0</v>
      </c>
      <c r="T129">
        <v>28</v>
      </c>
      <c r="U129">
        <v>39.229999999999997</v>
      </c>
      <c r="V129" t="s">
        <v>45</v>
      </c>
      <c r="W129">
        <v>0</v>
      </c>
      <c r="X129" t="s">
        <v>31</v>
      </c>
    </row>
    <row r="130" spans="1:24" x14ac:dyDescent="0.3">
      <c r="A130" t="s">
        <v>182</v>
      </c>
      <c r="B130" t="s">
        <v>47</v>
      </c>
      <c r="C130" s="2">
        <v>45786.93472222222</v>
      </c>
      <c r="D130" s="2">
        <v>45787.020138888889</v>
      </c>
      <c r="E130">
        <v>2.0499999999999998</v>
      </c>
      <c r="F130">
        <v>45.63</v>
      </c>
      <c r="G130" t="b">
        <v>0</v>
      </c>
      <c r="H130" s="2">
        <v>45786</v>
      </c>
      <c r="I130">
        <v>22</v>
      </c>
      <c r="J130" t="s">
        <v>41</v>
      </c>
      <c r="K130">
        <v>0</v>
      </c>
      <c r="L130" t="s">
        <v>66</v>
      </c>
      <c r="M130">
        <v>2.0499999999999998</v>
      </c>
      <c r="N130" t="s">
        <v>49</v>
      </c>
      <c r="O130">
        <v>50</v>
      </c>
      <c r="P130" t="s">
        <v>50</v>
      </c>
      <c r="Q130">
        <v>0</v>
      </c>
      <c r="R130">
        <v>0</v>
      </c>
      <c r="S130">
        <v>1</v>
      </c>
      <c r="T130">
        <v>39</v>
      </c>
      <c r="U130">
        <v>45.63</v>
      </c>
      <c r="V130" t="s">
        <v>30</v>
      </c>
      <c r="W130">
        <v>0</v>
      </c>
      <c r="X130" t="s">
        <v>59</v>
      </c>
    </row>
    <row r="131" spans="1:24" x14ac:dyDescent="0.3">
      <c r="A131" t="s">
        <v>183</v>
      </c>
      <c r="B131" t="s">
        <v>47</v>
      </c>
      <c r="C131" s="2">
        <v>45787.423611111109</v>
      </c>
      <c r="D131" s="2">
        <v>45787.523611111108</v>
      </c>
      <c r="E131">
        <v>2.4</v>
      </c>
      <c r="F131">
        <v>40.39</v>
      </c>
      <c r="G131" t="b">
        <v>0</v>
      </c>
      <c r="H131" s="2">
        <v>45787</v>
      </c>
      <c r="I131">
        <v>10</v>
      </c>
      <c r="J131" t="s">
        <v>48</v>
      </c>
      <c r="K131">
        <v>1</v>
      </c>
      <c r="L131" t="s">
        <v>35</v>
      </c>
      <c r="M131">
        <v>2.4</v>
      </c>
      <c r="N131" t="s">
        <v>49</v>
      </c>
      <c r="O131">
        <v>50</v>
      </c>
      <c r="P131" t="s">
        <v>50</v>
      </c>
      <c r="Q131">
        <v>1</v>
      </c>
      <c r="R131">
        <v>0</v>
      </c>
      <c r="S131">
        <v>1</v>
      </c>
      <c r="T131">
        <v>30.7</v>
      </c>
      <c r="U131">
        <v>40.39</v>
      </c>
      <c r="V131" t="s">
        <v>30</v>
      </c>
      <c r="W131">
        <v>0</v>
      </c>
      <c r="X131" t="s">
        <v>59</v>
      </c>
    </row>
    <row r="132" spans="1:24" x14ac:dyDescent="0.3">
      <c r="A132" t="s">
        <v>184</v>
      </c>
      <c r="B132" t="s">
        <v>40</v>
      </c>
      <c r="C132" s="2">
        <v>45788.577777777777</v>
      </c>
      <c r="D132" s="2">
        <v>45788.727777777778</v>
      </c>
      <c r="E132">
        <v>3.6</v>
      </c>
      <c r="F132">
        <v>55.38</v>
      </c>
      <c r="G132" t="b">
        <v>0</v>
      </c>
      <c r="H132" s="2">
        <v>45788</v>
      </c>
      <c r="I132">
        <v>13</v>
      </c>
      <c r="J132" t="s">
        <v>52</v>
      </c>
      <c r="K132">
        <v>1</v>
      </c>
      <c r="L132" t="s">
        <v>27</v>
      </c>
      <c r="M132">
        <v>3.6</v>
      </c>
      <c r="N132" t="s">
        <v>43</v>
      </c>
      <c r="O132">
        <v>100</v>
      </c>
      <c r="P132" t="s">
        <v>44</v>
      </c>
      <c r="Q132">
        <v>1</v>
      </c>
      <c r="R132">
        <v>0</v>
      </c>
      <c r="S132">
        <v>0</v>
      </c>
      <c r="T132">
        <v>29.3</v>
      </c>
      <c r="U132">
        <v>55.38</v>
      </c>
      <c r="V132" t="s">
        <v>38</v>
      </c>
      <c r="W132">
        <v>0</v>
      </c>
      <c r="X132" t="s">
        <v>31</v>
      </c>
    </row>
    <row r="133" spans="1:24" x14ac:dyDescent="0.3">
      <c r="A133" t="s">
        <v>185</v>
      </c>
      <c r="B133" t="s">
        <v>33</v>
      </c>
      <c r="C133" s="2">
        <v>45789.776388888888</v>
      </c>
      <c r="D133" s="2">
        <v>45789.877083333333</v>
      </c>
      <c r="E133">
        <v>2.416666666666667</v>
      </c>
      <c r="F133">
        <v>36.5</v>
      </c>
      <c r="G133" t="b">
        <v>0</v>
      </c>
      <c r="H133" s="2">
        <v>45789</v>
      </c>
      <c r="I133">
        <v>18</v>
      </c>
      <c r="J133" t="s">
        <v>54</v>
      </c>
      <c r="K133">
        <v>0</v>
      </c>
      <c r="L133" t="s">
        <v>42</v>
      </c>
      <c r="M133">
        <v>2.416666666666667</v>
      </c>
      <c r="N133" t="s">
        <v>36</v>
      </c>
      <c r="O133">
        <v>60</v>
      </c>
      <c r="P133" t="s">
        <v>37</v>
      </c>
      <c r="Q133">
        <v>0</v>
      </c>
      <c r="R133">
        <v>0</v>
      </c>
      <c r="S133">
        <v>0</v>
      </c>
      <c r="T133">
        <v>34.5</v>
      </c>
      <c r="U133">
        <v>36.5</v>
      </c>
      <c r="V133" t="s">
        <v>45</v>
      </c>
      <c r="W133">
        <v>0</v>
      </c>
      <c r="X133" t="s">
        <v>31</v>
      </c>
    </row>
    <row r="134" spans="1:24" x14ac:dyDescent="0.3">
      <c r="A134" t="s">
        <v>186</v>
      </c>
      <c r="B134" t="s">
        <v>25</v>
      </c>
      <c r="C134" s="2">
        <v>45790.715277777781</v>
      </c>
      <c r="D134" s="2">
        <v>45790.813194444447</v>
      </c>
      <c r="E134">
        <v>2.35</v>
      </c>
      <c r="F134">
        <v>44.81</v>
      </c>
      <c r="G134" t="b">
        <v>0</v>
      </c>
      <c r="H134" s="2">
        <v>45790</v>
      </c>
      <c r="I134">
        <v>17</v>
      </c>
      <c r="J134" t="s">
        <v>56</v>
      </c>
      <c r="K134">
        <v>0</v>
      </c>
      <c r="L134" t="s">
        <v>42</v>
      </c>
      <c r="M134">
        <v>2.35</v>
      </c>
      <c r="N134" t="s">
        <v>28</v>
      </c>
      <c r="O134">
        <v>70</v>
      </c>
      <c r="P134" t="s">
        <v>29</v>
      </c>
      <c r="Q134">
        <v>0</v>
      </c>
      <c r="R134">
        <v>0</v>
      </c>
      <c r="S134">
        <v>0</v>
      </c>
      <c r="T134">
        <v>30.2</v>
      </c>
      <c r="U134">
        <v>44.81</v>
      </c>
      <c r="V134" t="s">
        <v>38</v>
      </c>
      <c r="W134">
        <v>0</v>
      </c>
      <c r="X134" t="s">
        <v>31</v>
      </c>
    </row>
    <row r="135" spans="1:24" x14ac:dyDescent="0.3">
      <c r="A135" t="s">
        <v>187</v>
      </c>
      <c r="B135" t="s">
        <v>61</v>
      </c>
      <c r="C135" s="2">
        <v>45791.856944444437</v>
      </c>
      <c r="D135" s="2">
        <v>45791.977083333331</v>
      </c>
      <c r="E135">
        <v>2.8833333333333329</v>
      </c>
      <c r="F135">
        <v>39.090000000000003</v>
      </c>
      <c r="G135" t="b">
        <v>0</v>
      </c>
      <c r="H135" s="2">
        <v>45791</v>
      </c>
      <c r="I135">
        <v>20</v>
      </c>
      <c r="J135" t="s">
        <v>26</v>
      </c>
      <c r="K135">
        <v>0</v>
      </c>
      <c r="L135" t="s">
        <v>42</v>
      </c>
      <c r="M135">
        <v>2.8833333333333329</v>
      </c>
      <c r="N135" t="s">
        <v>62</v>
      </c>
      <c r="O135">
        <v>80</v>
      </c>
      <c r="P135" t="s">
        <v>37</v>
      </c>
      <c r="Q135">
        <v>0</v>
      </c>
      <c r="R135">
        <v>0</v>
      </c>
      <c r="S135">
        <v>0</v>
      </c>
      <c r="T135">
        <v>33.9</v>
      </c>
      <c r="U135">
        <v>39.090000000000003</v>
      </c>
      <c r="V135" t="s">
        <v>38</v>
      </c>
      <c r="W135">
        <v>0</v>
      </c>
      <c r="X135" t="s">
        <v>31</v>
      </c>
    </row>
    <row r="136" spans="1:24" x14ac:dyDescent="0.3">
      <c r="A136" t="s">
        <v>188</v>
      </c>
      <c r="B136" t="s">
        <v>25</v>
      </c>
      <c r="C136" s="2">
        <v>45792.569444444453</v>
      </c>
      <c r="D136" s="2">
        <v>45792.740277777782</v>
      </c>
      <c r="E136">
        <v>4.0999999999999996</v>
      </c>
      <c r="F136">
        <v>66.319999999999993</v>
      </c>
      <c r="G136" t="b">
        <v>0</v>
      </c>
      <c r="H136" s="2">
        <v>45792</v>
      </c>
      <c r="I136">
        <v>13</v>
      </c>
      <c r="J136" t="s">
        <v>34</v>
      </c>
      <c r="K136">
        <v>0</v>
      </c>
      <c r="L136" t="s">
        <v>27</v>
      </c>
      <c r="M136">
        <v>4.0999999999999996</v>
      </c>
      <c r="N136" t="s">
        <v>28</v>
      </c>
      <c r="O136">
        <v>70</v>
      </c>
      <c r="P136" t="s">
        <v>29</v>
      </c>
      <c r="Q136">
        <v>0</v>
      </c>
      <c r="R136">
        <v>0</v>
      </c>
      <c r="S136">
        <v>0</v>
      </c>
      <c r="T136">
        <v>27.8</v>
      </c>
      <c r="U136">
        <v>66.319999999999993</v>
      </c>
      <c r="V136" t="s">
        <v>38</v>
      </c>
      <c r="W136">
        <v>0</v>
      </c>
      <c r="X136" t="s">
        <v>31</v>
      </c>
    </row>
    <row r="137" spans="1:24" x14ac:dyDescent="0.3">
      <c r="A137" t="s">
        <v>189</v>
      </c>
      <c r="B137" t="s">
        <v>40</v>
      </c>
      <c r="C137" s="2">
        <v>45793.663888888892</v>
      </c>
      <c r="D137" s="2">
        <v>45793.708333333343</v>
      </c>
      <c r="E137">
        <v>1.0666666666666671</v>
      </c>
      <c r="F137">
        <v>22.13</v>
      </c>
      <c r="G137" t="b">
        <v>0</v>
      </c>
      <c r="H137" s="2">
        <v>45793</v>
      </c>
      <c r="I137">
        <v>15</v>
      </c>
      <c r="J137" t="s">
        <v>41</v>
      </c>
      <c r="K137">
        <v>0</v>
      </c>
      <c r="L137" t="s">
        <v>27</v>
      </c>
      <c r="M137">
        <v>1.0666666666666671</v>
      </c>
      <c r="N137" t="s">
        <v>43</v>
      </c>
      <c r="O137">
        <v>100</v>
      </c>
      <c r="P137" t="s">
        <v>44</v>
      </c>
      <c r="Q137">
        <v>0</v>
      </c>
      <c r="R137">
        <v>0</v>
      </c>
      <c r="S137">
        <v>0</v>
      </c>
      <c r="T137">
        <v>27.1</v>
      </c>
      <c r="U137">
        <v>22.13</v>
      </c>
      <c r="V137" t="s">
        <v>38</v>
      </c>
      <c r="W137">
        <v>0</v>
      </c>
      <c r="X137" t="s">
        <v>31</v>
      </c>
    </row>
    <row r="138" spans="1:24" x14ac:dyDescent="0.3">
      <c r="A138" t="s">
        <v>190</v>
      </c>
      <c r="B138" t="s">
        <v>33</v>
      </c>
      <c r="C138" s="2">
        <v>45794.356249999997</v>
      </c>
      <c r="D138" s="2">
        <v>45794.489583333343</v>
      </c>
      <c r="E138">
        <v>3.2</v>
      </c>
      <c r="F138">
        <v>55.63</v>
      </c>
      <c r="G138" t="b">
        <v>0</v>
      </c>
      <c r="H138" s="2">
        <v>45794</v>
      </c>
      <c r="I138">
        <v>8</v>
      </c>
      <c r="J138" t="s">
        <v>48</v>
      </c>
      <c r="K138">
        <v>1</v>
      </c>
      <c r="L138" t="s">
        <v>35</v>
      </c>
      <c r="M138">
        <v>3.2</v>
      </c>
      <c r="N138" t="s">
        <v>36</v>
      </c>
      <c r="O138">
        <v>60</v>
      </c>
      <c r="P138" t="s">
        <v>37</v>
      </c>
      <c r="Q138">
        <v>1</v>
      </c>
      <c r="R138">
        <v>0</v>
      </c>
      <c r="S138">
        <v>0</v>
      </c>
      <c r="T138">
        <v>28</v>
      </c>
      <c r="U138">
        <v>55.63</v>
      </c>
      <c r="V138" t="s">
        <v>30</v>
      </c>
      <c r="W138">
        <v>0</v>
      </c>
      <c r="X138" t="s">
        <v>31</v>
      </c>
    </row>
    <row r="139" spans="1:24" x14ac:dyDescent="0.3">
      <c r="A139" t="s">
        <v>191</v>
      </c>
      <c r="B139" t="s">
        <v>33</v>
      </c>
      <c r="C139" s="2">
        <v>45795.609027777777</v>
      </c>
      <c r="D139" s="2">
        <v>45795.620138888888</v>
      </c>
      <c r="E139">
        <v>0.26666666666666672</v>
      </c>
      <c r="F139">
        <v>10</v>
      </c>
      <c r="G139" t="b">
        <v>0</v>
      </c>
      <c r="H139" s="2">
        <v>45795</v>
      </c>
      <c r="I139">
        <v>14</v>
      </c>
      <c r="J139" t="s">
        <v>52</v>
      </c>
      <c r="K139">
        <v>1</v>
      </c>
      <c r="L139" t="s">
        <v>27</v>
      </c>
      <c r="M139">
        <v>0.26666666666666672</v>
      </c>
      <c r="N139" t="s">
        <v>36</v>
      </c>
      <c r="O139">
        <v>60</v>
      </c>
      <c r="P139" t="s">
        <v>37</v>
      </c>
      <c r="Q139">
        <v>1</v>
      </c>
      <c r="R139">
        <v>0</v>
      </c>
      <c r="S139">
        <v>0</v>
      </c>
      <c r="T139">
        <v>23.3</v>
      </c>
      <c r="U139">
        <v>10</v>
      </c>
      <c r="V139" t="s">
        <v>45</v>
      </c>
      <c r="W139">
        <v>0</v>
      </c>
      <c r="X139" t="s">
        <v>31</v>
      </c>
    </row>
    <row r="140" spans="1:24" x14ac:dyDescent="0.3">
      <c r="A140" t="s">
        <v>192</v>
      </c>
      <c r="B140" t="s">
        <v>47</v>
      </c>
      <c r="C140" s="2">
        <v>45796.347916666673</v>
      </c>
      <c r="D140" s="2">
        <v>45796.419444444437</v>
      </c>
      <c r="E140">
        <v>1.716666666666667</v>
      </c>
      <c r="F140">
        <v>21.64</v>
      </c>
      <c r="G140" t="b">
        <v>0</v>
      </c>
      <c r="H140" s="2">
        <v>45796</v>
      </c>
      <c r="I140">
        <v>8</v>
      </c>
      <c r="J140" t="s">
        <v>54</v>
      </c>
      <c r="K140">
        <v>0</v>
      </c>
      <c r="L140" t="s">
        <v>35</v>
      </c>
      <c r="M140">
        <v>1.716666666666667</v>
      </c>
      <c r="N140" t="s">
        <v>49</v>
      </c>
      <c r="O140">
        <v>50</v>
      </c>
      <c r="P140" t="s">
        <v>50</v>
      </c>
      <c r="Q140">
        <v>0</v>
      </c>
      <c r="R140">
        <v>0</v>
      </c>
      <c r="S140">
        <v>1</v>
      </c>
      <c r="T140">
        <v>34.5</v>
      </c>
      <c r="U140">
        <v>21.64</v>
      </c>
      <c r="V140" t="s">
        <v>38</v>
      </c>
      <c r="W140">
        <v>0</v>
      </c>
      <c r="X140" t="s">
        <v>59</v>
      </c>
    </row>
    <row r="141" spans="1:24" x14ac:dyDescent="0.3">
      <c r="A141" t="s">
        <v>193</v>
      </c>
      <c r="B141" t="s">
        <v>40</v>
      </c>
      <c r="C141" s="2">
        <v>45797.450694444437</v>
      </c>
      <c r="D141" s="2">
        <v>45797.510416666657</v>
      </c>
      <c r="E141">
        <v>1.4333333333333329</v>
      </c>
      <c r="F141">
        <v>27.87</v>
      </c>
      <c r="G141" t="b">
        <v>0</v>
      </c>
      <c r="H141" s="2">
        <v>45797</v>
      </c>
      <c r="I141">
        <v>10</v>
      </c>
      <c r="J141" t="s">
        <v>56</v>
      </c>
      <c r="K141">
        <v>0</v>
      </c>
      <c r="L141" t="s">
        <v>35</v>
      </c>
      <c r="M141">
        <v>1.4333333333333329</v>
      </c>
      <c r="N141" t="s">
        <v>43</v>
      </c>
      <c r="O141">
        <v>100</v>
      </c>
      <c r="P141" t="s">
        <v>44</v>
      </c>
      <c r="Q141">
        <v>0</v>
      </c>
      <c r="R141">
        <v>0</v>
      </c>
      <c r="S141">
        <v>0</v>
      </c>
      <c r="T141">
        <v>31.3</v>
      </c>
      <c r="U141">
        <v>27.87</v>
      </c>
      <c r="V141" t="s">
        <v>45</v>
      </c>
      <c r="W141">
        <v>0</v>
      </c>
      <c r="X141" t="s">
        <v>31</v>
      </c>
    </row>
    <row r="142" spans="1:24" x14ac:dyDescent="0.3">
      <c r="A142" t="s">
        <v>194</v>
      </c>
      <c r="B142" t="s">
        <v>40</v>
      </c>
      <c r="C142" s="2">
        <v>45798.619444444441</v>
      </c>
      <c r="D142" s="2">
        <v>45798.644444444442</v>
      </c>
      <c r="E142">
        <v>0.6</v>
      </c>
      <c r="F142">
        <v>10</v>
      </c>
      <c r="G142" t="b">
        <v>0</v>
      </c>
      <c r="H142" s="2">
        <v>45798</v>
      </c>
      <c r="I142">
        <v>14</v>
      </c>
      <c r="J142" t="s">
        <v>26</v>
      </c>
      <c r="K142">
        <v>0</v>
      </c>
      <c r="L142" t="s">
        <v>27</v>
      </c>
      <c r="M142">
        <v>0.6</v>
      </c>
      <c r="N142" t="s">
        <v>43</v>
      </c>
      <c r="O142">
        <v>100</v>
      </c>
      <c r="P142" t="s">
        <v>44</v>
      </c>
      <c r="Q142">
        <v>0</v>
      </c>
      <c r="R142">
        <v>0</v>
      </c>
      <c r="S142">
        <v>1</v>
      </c>
      <c r="T142">
        <v>32.1</v>
      </c>
      <c r="U142">
        <v>10</v>
      </c>
      <c r="V142" t="s">
        <v>38</v>
      </c>
      <c r="W142">
        <v>0</v>
      </c>
      <c r="X142" t="s">
        <v>59</v>
      </c>
    </row>
    <row r="143" spans="1:24" x14ac:dyDescent="0.3">
      <c r="A143" t="s">
        <v>195</v>
      </c>
      <c r="B143" t="s">
        <v>61</v>
      </c>
      <c r="C143" s="2">
        <v>45799.337500000001</v>
      </c>
      <c r="D143" s="2">
        <v>45799.354166666657</v>
      </c>
      <c r="E143">
        <v>0.4</v>
      </c>
      <c r="F143">
        <v>11.07</v>
      </c>
      <c r="G143" t="b">
        <v>0</v>
      </c>
      <c r="H143" s="2">
        <v>45799</v>
      </c>
      <c r="I143">
        <v>8</v>
      </c>
      <c r="J143" t="s">
        <v>34</v>
      </c>
      <c r="K143">
        <v>0</v>
      </c>
      <c r="L143" t="s">
        <v>35</v>
      </c>
      <c r="M143">
        <v>0.4</v>
      </c>
      <c r="N143" t="s">
        <v>62</v>
      </c>
      <c r="O143">
        <v>80</v>
      </c>
      <c r="P143" t="s">
        <v>37</v>
      </c>
      <c r="Q143">
        <v>0</v>
      </c>
      <c r="R143">
        <v>0</v>
      </c>
      <c r="S143">
        <v>1</v>
      </c>
      <c r="T143">
        <v>30.5</v>
      </c>
      <c r="U143">
        <v>11.07</v>
      </c>
      <c r="V143" t="s">
        <v>38</v>
      </c>
      <c r="W143">
        <v>0</v>
      </c>
      <c r="X143" t="s">
        <v>59</v>
      </c>
    </row>
    <row r="144" spans="1:24" x14ac:dyDescent="0.3">
      <c r="A144" t="s">
        <v>196</v>
      </c>
      <c r="B144" t="s">
        <v>47</v>
      </c>
      <c r="C144" s="2">
        <v>45800.878472222219</v>
      </c>
      <c r="D144" s="2">
        <v>45800.897916666669</v>
      </c>
      <c r="E144">
        <v>0.46666666666666667</v>
      </c>
      <c r="F144">
        <v>10</v>
      </c>
      <c r="G144" t="b">
        <v>0</v>
      </c>
      <c r="H144" s="2">
        <v>45800</v>
      </c>
      <c r="I144">
        <v>21</v>
      </c>
      <c r="J144" t="s">
        <v>41</v>
      </c>
      <c r="K144">
        <v>0</v>
      </c>
      <c r="L144" t="s">
        <v>66</v>
      </c>
      <c r="M144">
        <v>0.46666666666666667</v>
      </c>
      <c r="N144" t="s">
        <v>49</v>
      </c>
      <c r="O144">
        <v>50</v>
      </c>
      <c r="P144" t="s">
        <v>50</v>
      </c>
      <c r="Q144">
        <v>0</v>
      </c>
      <c r="R144">
        <v>0</v>
      </c>
      <c r="S144">
        <v>0</v>
      </c>
      <c r="T144">
        <v>24.2</v>
      </c>
      <c r="U144">
        <v>10</v>
      </c>
      <c r="V144" t="s">
        <v>38</v>
      </c>
      <c r="W144">
        <v>0</v>
      </c>
      <c r="X144" t="s">
        <v>31</v>
      </c>
    </row>
    <row r="145" spans="1:24" x14ac:dyDescent="0.3">
      <c r="A145" t="s">
        <v>197</v>
      </c>
      <c r="B145" t="s">
        <v>61</v>
      </c>
      <c r="C145" s="2">
        <v>45801.788888888892</v>
      </c>
      <c r="D145" s="2">
        <v>45801.800694444442</v>
      </c>
      <c r="E145">
        <v>0.28333333333333333</v>
      </c>
      <c r="F145">
        <v>11.99</v>
      </c>
      <c r="G145" t="b">
        <v>0</v>
      </c>
      <c r="H145" s="2">
        <v>45801</v>
      </c>
      <c r="I145">
        <v>18</v>
      </c>
      <c r="J145" t="s">
        <v>48</v>
      </c>
      <c r="K145">
        <v>1</v>
      </c>
      <c r="L145" t="s">
        <v>42</v>
      </c>
      <c r="M145">
        <v>0.28333333333333333</v>
      </c>
      <c r="N145" t="s">
        <v>62</v>
      </c>
      <c r="O145">
        <v>80</v>
      </c>
      <c r="P145" t="s">
        <v>37</v>
      </c>
      <c r="Q145">
        <v>1</v>
      </c>
      <c r="R145">
        <v>0</v>
      </c>
      <c r="S145">
        <v>1</v>
      </c>
      <c r="T145">
        <v>30.3</v>
      </c>
      <c r="U145">
        <v>11.99</v>
      </c>
      <c r="V145" t="s">
        <v>30</v>
      </c>
      <c r="W145">
        <v>0</v>
      </c>
      <c r="X145" t="s">
        <v>59</v>
      </c>
    </row>
    <row r="146" spans="1:24" x14ac:dyDescent="0.3">
      <c r="A146" t="s">
        <v>198</v>
      </c>
      <c r="B146" t="s">
        <v>33</v>
      </c>
      <c r="C146" s="2">
        <v>45802.522222222222</v>
      </c>
      <c r="D146" s="2">
        <v>45802.5625</v>
      </c>
      <c r="E146">
        <v>0.96666666666666667</v>
      </c>
      <c r="F146">
        <v>13.07</v>
      </c>
      <c r="G146" t="b">
        <v>0</v>
      </c>
      <c r="H146" s="2">
        <v>45802</v>
      </c>
      <c r="I146">
        <v>12</v>
      </c>
      <c r="J146" t="s">
        <v>52</v>
      </c>
      <c r="K146">
        <v>1</v>
      </c>
      <c r="L146" t="s">
        <v>27</v>
      </c>
      <c r="M146">
        <v>0.96666666666666667</v>
      </c>
      <c r="N146" t="s">
        <v>36</v>
      </c>
      <c r="O146">
        <v>60</v>
      </c>
      <c r="P146" t="s">
        <v>37</v>
      </c>
      <c r="Q146">
        <v>1</v>
      </c>
      <c r="R146">
        <v>0</v>
      </c>
      <c r="S146">
        <v>0</v>
      </c>
      <c r="T146">
        <v>30.8</v>
      </c>
      <c r="U146">
        <v>13.07</v>
      </c>
      <c r="V146" t="s">
        <v>30</v>
      </c>
      <c r="W146">
        <v>0</v>
      </c>
      <c r="X146" t="s">
        <v>31</v>
      </c>
    </row>
    <row r="147" spans="1:24" x14ac:dyDescent="0.3">
      <c r="A147" t="s">
        <v>199</v>
      </c>
      <c r="B147" t="s">
        <v>47</v>
      </c>
      <c r="C147" s="2">
        <v>45803.376388888893</v>
      </c>
      <c r="D147" s="2">
        <v>45803.459722222222</v>
      </c>
      <c r="E147">
        <v>2</v>
      </c>
      <c r="F147">
        <v>39.03</v>
      </c>
      <c r="G147" t="b">
        <v>0</v>
      </c>
      <c r="H147" s="2">
        <v>45803</v>
      </c>
      <c r="I147">
        <v>9</v>
      </c>
      <c r="J147" t="s">
        <v>54</v>
      </c>
      <c r="K147">
        <v>0</v>
      </c>
      <c r="L147" t="s">
        <v>35</v>
      </c>
      <c r="M147">
        <v>2</v>
      </c>
      <c r="N147" t="s">
        <v>49</v>
      </c>
      <c r="O147">
        <v>50</v>
      </c>
      <c r="P147" t="s">
        <v>50</v>
      </c>
      <c r="Q147">
        <v>0</v>
      </c>
      <c r="R147">
        <v>0</v>
      </c>
      <c r="S147">
        <v>0</v>
      </c>
      <c r="T147">
        <v>25.3</v>
      </c>
      <c r="U147">
        <v>39.03</v>
      </c>
      <c r="V147" t="s">
        <v>38</v>
      </c>
      <c r="W147">
        <v>0</v>
      </c>
      <c r="X147" t="s">
        <v>31</v>
      </c>
    </row>
    <row r="148" spans="1:24" x14ac:dyDescent="0.3">
      <c r="A148" t="s">
        <v>200</v>
      </c>
      <c r="B148" t="s">
        <v>33</v>
      </c>
      <c r="C148" s="2">
        <v>45804.36041666667</v>
      </c>
      <c r="D148" s="2">
        <v>45804.588888888888</v>
      </c>
      <c r="E148">
        <v>5.4833333333333334</v>
      </c>
      <c r="F148">
        <v>80.760000000000005</v>
      </c>
      <c r="G148" t="b">
        <v>0</v>
      </c>
      <c r="H148" s="2">
        <v>45804</v>
      </c>
      <c r="I148">
        <v>8</v>
      </c>
      <c r="J148" t="s">
        <v>56</v>
      </c>
      <c r="K148">
        <v>0</v>
      </c>
      <c r="L148" t="s">
        <v>35</v>
      </c>
      <c r="M148">
        <v>5.4833333333333334</v>
      </c>
      <c r="N148" t="s">
        <v>36</v>
      </c>
      <c r="O148">
        <v>60</v>
      </c>
      <c r="P148" t="s">
        <v>37</v>
      </c>
      <c r="Q148">
        <v>0</v>
      </c>
      <c r="R148">
        <v>0</v>
      </c>
      <c r="S148">
        <v>1</v>
      </c>
      <c r="T148">
        <v>29.3</v>
      </c>
      <c r="U148">
        <v>80.760000000000005</v>
      </c>
      <c r="V148" t="s">
        <v>38</v>
      </c>
      <c r="W148">
        <v>0</v>
      </c>
      <c r="X148" t="s">
        <v>59</v>
      </c>
    </row>
    <row r="149" spans="1:24" x14ac:dyDescent="0.3">
      <c r="A149" t="s">
        <v>201</v>
      </c>
      <c r="B149" t="s">
        <v>61</v>
      </c>
      <c r="C149" s="2">
        <v>45805.314583333333</v>
      </c>
      <c r="D149" s="2">
        <v>45805.46875</v>
      </c>
      <c r="E149">
        <v>3.7</v>
      </c>
      <c r="F149">
        <v>50.43</v>
      </c>
      <c r="G149" t="b">
        <v>0</v>
      </c>
      <c r="H149" s="2">
        <v>45805</v>
      </c>
      <c r="I149">
        <v>7</v>
      </c>
      <c r="J149" t="s">
        <v>26</v>
      </c>
      <c r="K149">
        <v>0</v>
      </c>
      <c r="L149" t="s">
        <v>35</v>
      </c>
      <c r="M149">
        <v>3.7</v>
      </c>
      <c r="N149" t="s">
        <v>62</v>
      </c>
      <c r="O149">
        <v>80</v>
      </c>
      <c r="P149" t="s">
        <v>37</v>
      </c>
      <c r="Q149">
        <v>0</v>
      </c>
      <c r="R149">
        <v>0</v>
      </c>
      <c r="S149">
        <v>0</v>
      </c>
      <c r="T149">
        <v>28.9</v>
      </c>
      <c r="U149">
        <v>50.43</v>
      </c>
      <c r="V149" t="s">
        <v>38</v>
      </c>
      <c r="W149">
        <v>0</v>
      </c>
      <c r="X149" t="s">
        <v>31</v>
      </c>
    </row>
    <row r="150" spans="1:24" x14ac:dyDescent="0.3">
      <c r="A150" t="s">
        <v>202</v>
      </c>
      <c r="B150" t="s">
        <v>33</v>
      </c>
      <c r="C150" s="2">
        <v>45806.719444444447</v>
      </c>
      <c r="D150" s="2">
        <v>45806.787499999999</v>
      </c>
      <c r="E150">
        <v>1.6333333333333331</v>
      </c>
      <c r="F150">
        <v>31.31</v>
      </c>
      <c r="G150" t="b">
        <v>0</v>
      </c>
      <c r="H150" s="2">
        <v>45806</v>
      </c>
      <c r="I150">
        <v>17</v>
      </c>
      <c r="J150" t="s">
        <v>34</v>
      </c>
      <c r="K150">
        <v>0</v>
      </c>
      <c r="L150" t="s">
        <v>42</v>
      </c>
      <c r="M150">
        <v>1.6333333333333331</v>
      </c>
      <c r="N150" t="s">
        <v>36</v>
      </c>
      <c r="O150">
        <v>60</v>
      </c>
      <c r="P150" t="s">
        <v>37</v>
      </c>
      <c r="Q150">
        <v>0</v>
      </c>
      <c r="R150">
        <v>0</v>
      </c>
      <c r="S150">
        <v>0</v>
      </c>
      <c r="T150">
        <v>22.6</v>
      </c>
      <c r="U150">
        <v>31.31</v>
      </c>
      <c r="V150" t="s">
        <v>38</v>
      </c>
      <c r="W150">
        <v>0</v>
      </c>
      <c r="X150" t="s">
        <v>31</v>
      </c>
    </row>
    <row r="151" spans="1:24" x14ac:dyDescent="0.3">
      <c r="A151" t="s">
        <v>203</v>
      </c>
      <c r="B151" t="s">
        <v>25</v>
      </c>
      <c r="C151" s="2">
        <v>45807.706250000003</v>
      </c>
      <c r="D151" s="2">
        <v>45807.815972222219</v>
      </c>
      <c r="E151">
        <v>2.6333333333333329</v>
      </c>
      <c r="F151">
        <v>45.56</v>
      </c>
      <c r="G151" t="b">
        <v>0</v>
      </c>
      <c r="H151" s="2">
        <v>45807</v>
      </c>
      <c r="I151">
        <v>16</v>
      </c>
      <c r="J151" t="s">
        <v>41</v>
      </c>
      <c r="K151">
        <v>0</v>
      </c>
      <c r="L151" t="s">
        <v>27</v>
      </c>
      <c r="M151">
        <v>2.6333333333333329</v>
      </c>
      <c r="N151" t="s">
        <v>28</v>
      </c>
      <c r="O151">
        <v>70</v>
      </c>
      <c r="P151" t="s">
        <v>29</v>
      </c>
      <c r="Q151">
        <v>0</v>
      </c>
      <c r="R151">
        <v>0</v>
      </c>
      <c r="S151">
        <v>0</v>
      </c>
      <c r="T151">
        <v>25.6</v>
      </c>
      <c r="U151">
        <v>45.56</v>
      </c>
      <c r="V151" t="s">
        <v>45</v>
      </c>
      <c r="W151">
        <v>0</v>
      </c>
      <c r="X151" t="s">
        <v>31</v>
      </c>
    </row>
    <row r="152" spans="1:24" x14ac:dyDescent="0.3">
      <c r="A152" t="s">
        <v>204</v>
      </c>
      <c r="B152" t="s">
        <v>25</v>
      </c>
      <c r="C152" s="2">
        <v>45808.315972222219</v>
      </c>
      <c r="D152" s="2">
        <v>45808.351388888892</v>
      </c>
      <c r="E152">
        <v>0.85</v>
      </c>
      <c r="F152">
        <v>10</v>
      </c>
      <c r="G152" t="b">
        <v>0</v>
      </c>
      <c r="H152" s="2">
        <v>45808</v>
      </c>
      <c r="I152">
        <v>7</v>
      </c>
      <c r="J152" t="s">
        <v>48</v>
      </c>
      <c r="K152">
        <v>1</v>
      </c>
      <c r="L152" t="s">
        <v>35</v>
      </c>
      <c r="M152">
        <v>0.85</v>
      </c>
      <c r="N152" t="s">
        <v>28</v>
      </c>
      <c r="O152">
        <v>70</v>
      </c>
      <c r="P152" t="s">
        <v>29</v>
      </c>
      <c r="Q152">
        <v>1</v>
      </c>
      <c r="R152">
        <v>0</v>
      </c>
      <c r="S152">
        <v>0</v>
      </c>
      <c r="T152">
        <v>33.200000000000003</v>
      </c>
      <c r="U152">
        <v>10</v>
      </c>
      <c r="V152" t="s">
        <v>38</v>
      </c>
      <c r="W152">
        <v>0</v>
      </c>
      <c r="X152" t="s">
        <v>31</v>
      </c>
    </row>
    <row r="153" spans="1:24" x14ac:dyDescent="0.3">
      <c r="A153" t="s">
        <v>205</v>
      </c>
      <c r="B153" t="s">
        <v>61</v>
      </c>
      <c r="C153" s="2">
        <v>45809.88958333333</v>
      </c>
      <c r="D153" s="2">
        <v>45809.966666666667</v>
      </c>
      <c r="E153">
        <v>1.85</v>
      </c>
      <c r="F153">
        <v>25.22</v>
      </c>
      <c r="G153" t="b">
        <v>0</v>
      </c>
      <c r="H153" s="2">
        <v>45809</v>
      </c>
      <c r="I153">
        <v>21</v>
      </c>
      <c r="J153" t="s">
        <v>52</v>
      </c>
      <c r="K153">
        <v>1</v>
      </c>
      <c r="L153" t="s">
        <v>66</v>
      </c>
      <c r="M153">
        <v>1.85</v>
      </c>
      <c r="N153" t="s">
        <v>62</v>
      </c>
      <c r="O153">
        <v>80</v>
      </c>
      <c r="P153" t="s">
        <v>37</v>
      </c>
      <c r="Q153">
        <v>1</v>
      </c>
      <c r="R153">
        <v>0</v>
      </c>
      <c r="S153">
        <v>0</v>
      </c>
      <c r="T153">
        <v>27.3</v>
      </c>
      <c r="U153">
        <v>25.22</v>
      </c>
      <c r="V153" t="s">
        <v>30</v>
      </c>
      <c r="W153">
        <v>0</v>
      </c>
      <c r="X153" t="s">
        <v>31</v>
      </c>
    </row>
    <row r="154" spans="1:24" x14ac:dyDescent="0.3">
      <c r="A154" t="s">
        <v>206</v>
      </c>
      <c r="B154" t="s">
        <v>25</v>
      </c>
      <c r="C154" s="2">
        <v>45810.288888888892</v>
      </c>
      <c r="D154" s="2">
        <v>45810.384027777778</v>
      </c>
      <c r="E154">
        <v>2.2833333333333332</v>
      </c>
      <c r="F154">
        <v>45.83</v>
      </c>
      <c r="G154" t="b">
        <v>0</v>
      </c>
      <c r="H154" s="2">
        <v>45810</v>
      </c>
      <c r="I154">
        <v>6</v>
      </c>
      <c r="J154" t="s">
        <v>54</v>
      </c>
      <c r="K154">
        <v>0</v>
      </c>
      <c r="L154" t="s">
        <v>35</v>
      </c>
      <c r="M154">
        <v>2.2833333333333332</v>
      </c>
      <c r="N154" t="s">
        <v>28</v>
      </c>
      <c r="O154">
        <v>70</v>
      </c>
      <c r="P154" t="s">
        <v>29</v>
      </c>
      <c r="Q154">
        <v>0</v>
      </c>
      <c r="R154">
        <v>0</v>
      </c>
      <c r="S154">
        <v>1</v>
      </c>
      <c r="T154">
        <v>33</v>
      </c>
      <c r="U154">
        <v>45.83</v>
      </c>
      <c r="V154" t="s">
        <v>30</v>
      </c>
      <c r="W154">
        <v>0</v>
      </c>
      <c r="X154" t="s">
        <v>59</v>
      </c>
    </row>
    <row r="155" spans="1:24" x14ac:dyDescent="0.3">
      <c r="A155" t="s">
        <v>207</v>
      </c>
      <c r="B155" t="s">
        <v>61</v>
      </c>
      <c r="C155" s="2">
        <v>45811.734722222223</v>
      </c>
      <c r="D155" s="2">
        <v>45811.839583333327</v>
      </c>
      <c r="E155">
        <v>2.5166666666666671</v>
      </c>
      <c r="F155">
        <v>39.130000000000003</v>
      </c>
      <c r="G155" t="b">
        <v>0</v>
      </c>
      <c r="H155" s="2">
        <v>45811</v>
      </c>
      <c r="I155">
        <v>17</v>
      </c>
      <c r="J155" t="s">
        <v>56</v>
      </c>
      <c r="K155">
        <v>0</v>
      </c>
      <c r="L155" t="s">
        <v>42</v>
      </c>
      <c r="M155">
        <v>2.5166666666666671</v>
      </c>
      <c r="N155" t="s">
        <v>62</v>
      </c>
      <c r="O155">
        <v>80</v>
      </c>
      <c r="P155" t="s">
        <v>37</v>
      </c>
      <c r="Q155">
        <v>0</v>
      </c>
      <c r="R155">
        <v>0</v>
      </c>
      <c r="S155">
        <v>0</v>
      </c>
      <c r="T155">
        <v>20.399999999999999</v>
      </c>
      <c r="U155">
        <v>39.130000000000003</v>
      </c>
      <c r="V155" t="s">
        <v>38</v>
      </c>
      <c r="W155">
        <v>0</v>
      </c>
      <c r="X155" t="s">
        <v>31</v>
      </c>
    </row>
    <row r="156" spans="1:24" x14ac:dyDescent="0.3">
      <c r="A156" t="s">
        <v>208</v>
      </c>
      <c r="B156" t="s">
        <v>47</v>
      </c>
      <c r="C156" s="2">
        <v>45813.591666666667</v>
      </c>
      <c r="D156" s="2">
        <v>45813.620833333327</v>
      </c>
      <c r="E156">
        <v>0.7</v>
      </c>
      <c r="F156">
        <v>14.67</v>
      </c>
      <c r="G156" t="b">
        <v>0</v>
      </c>
      <c r="H156" s="2">
        <v>45813</v>
      </c>
      <c r="I156">
        <v>14</v>
      </c>
      <c r="J156" t="s">
        <v>34</v>
      </c>
      <c r="K156">
        <v>0</v>
      </c>
      <c r="L156" t="s">
        <v>27</v>
      </c>
      <c r="M156">
        <v>0.7</v>
      </c>
      <c r="N156" t="s">
        <v>49</v>
      </c>
      <c r="O156">
        <v>50</v>
      </c>
      <c r="P156" t="s">
        <v>50</v>
      </c>
      <c r="Q156">
        <v>0</v>
      </c>
      <c r="R156">
        <v>0</v>
      </c>
      <c r="S156">
        <v>0</v>
      </c>
      <c r="T156">
        <v>32.299999999999997</v>
      </c>
      <c r="U156">
        <v>14.67</v>
      </c>
      <c r="V156" t="s">
        <v>38</v>
      </c>
      <c r="W156">
        <v>0</v>
      </c>
      <c r="X156" t="s">
        <v>31</v>
      </c>
    </row>
    <row r="157" spans="1:24" x14ac:dyDescent="0.3">
      <c r="A157" t="s">
        <v>209</v>
      </c>
      <c r="B157" t="s">
        <v>25</v>
      </c>
      <c r="C157" s="2">
        <v>45814.356249999997</v>
      </c>
      <c r="D157" s="2">
        <v>45814.502083333333</v>
      </c>
      <c r="E157">
        <v>3.5</v>
      </c>
      <c r="F157">
        <v>56.95</v>
      </c>
      <c r="G157" t="b">
        <v>0</v>
      </c>
      <c r="H157" s="2">
        <v>45814</v>
      </c>
      <c r="I157">
        <v>8</v>
      </c>
      <c r="J157" t="s">
        <v>41</v>
      </c>
      <c r="K157">
        <v>0</v>
      </c>
      <c r="L157" t="s">
        <v>35</v>
      </c>
      <c r="M157">
        <v>3.5</v>
      </c>
      <c r="N157" t="s">
        <v>28</v>
      </c>
      <c r="O157">
        <v>70</v>
      </c>
      <c r="P157" t="s">
        <v>29</v>
      </c>
      <c r="Q157">
        <v>0</v>
      </c>
      <c r="R157">
        <v>0</v>
      </c>
      <c r="S157">
        <v>0</v>
      </c>
      <c r="T157">
        <v>27.6</v>
      </c>
      <c r="U157">
        <v>56.95</v>
      </c>
      <c r="V157" t="s">
        <v>45</v>
      </c>
      <c r="W157">
        <v>0</v>
      </c>
      <c r="X157" t="s">
        <v>31</v>
      </c>
    </row>
    <row r="158" spans="1:24" x14ac:dyDescent="0.3">
      <c r="A158" t="s">
        <v>210</v>
      </c>
      <c r="B158" t="s">
        <v>33</v>
      </c>
      <c r="C158" s="2">
        <v>45815.78402777778</v>
      </c>
      <c r="D158" s="2">
        <v>45815.852083333331</v>
      </c>
      <c r="E158">
        <v>1.6333333333333331</v>
      </c>
      <c r="F158">
        <v>20.399999999999999</v>
      </c>
      <c r="G158" t="b">
        <v>0</v>
      </c>
      <c r="H158" s="2">
        <v>45815</v>
      </c>
      <c r="I158">
        <v>18</v>
      </c>
      <c r="J158" t="s">
        <v>48</v>
      </c>
      <c r="K158">
        <v>1</v>
      </c>
      <c r="L158" t="s">
        <v>42</v>
      </c>
      <c r="M158">
        <v>1.6333333333333331</v>
      </c>
      <c r="N158" t="s">
        <v>36</v>
      </c>
      <c r="O158">
        <v>60</v>
      </c>
      <c r="P158" t="s">
        <v>37</v>
      </c>
      <c r="Q158">
        <v>1</v>
      </c>
      <c r="R158">
        <v>0</v>
      </c>
      <c r="S158">
        <v>0</v>
      </c>
      <c r="T158">
        <v>31.4</v>
      </c>
      <c r="U158">
        <v>20.399999999999999</v>
      </c>
      <c r="V158" t="s">
        <v>38</v>
      </c>
      <c r="W158">
        <v>0</v>
      </c>
      <c r="X158" t="s">
        <v>31</v>
      </c>
    </row>
    <row r="159" spans="1:24" x14ac:dyDescent="0.3">
      <c r="A159" t="s">
        <v>211</v>
      </c>
      <c r="B159" t="s">
        <v>47</v>
      </c>
      <c r="C159" s="2">
        <v>45816.449305555558</v>
      </c>
      <c r="D159" s="2">
        <v>45816.574999999997</v>
      </c>
      <c r="E159">
        <v>3.0166666666666671</v>
      </c>
      <c r="F159">
        <v>58.51</v>
      </c>
      <c r="G159" t="b">
        <v>0</v>
      </c>
      <c r="H159" s="2">
        <v>45816</v>
      </c>
      <c r="I159">
        <v>10</v>
      </c>
      <c r="J159" t="s">
        <v>52</v>
      </c>
      <c r="K159">
        <v>1</v>
      </c>
      <c r="L159" t="s">
        <v>35</v>
      </c>
      <c r="M159">
        <v>3.0166666666666671</v>
      </c>
      <c r="N159" t="s">
        <v>49</v>
      </c>
      <c r="O159">
        <v>50</v>
      </c>
      <c r="P159" t="s">
        <v>50</v>
      </c>
      <c r="Q159">
        <v>1</v>
      </c>
      <c r="R159">
        <v>0</v>
      </c>
      <c r="S159">
        <v>0</v>
      </c>
      <c r="T159">
        <v>28.6</v>
      </c>
      <c r="U159">
        <v>58.51</v>
      </c>
      <c r="V159" t="s">
        <v>38</v>
      </c>
      <c r="W159">
        <v>0</v>
      </c>
      <c r="X159" t="s">
        <v>31</v>
      </c>
    </row>
    <row r="160" spans="1:24" x14ac:dyDescent="0.3">
      <c r="A160" t="s">
        <v>212</v>
      </c>
      <c r="B160" t="s">
        <v>33</v>
      </c>
      <c r="C160" s="2">
        <v>45817.945833333331</v>
      </c>
      <c r="D160" s="2">
        <v>45817.980555555558</v>
      </c>
      <c r="E160">
        <v>0.83333333333333337</v>
      </c>
      <c r="F160">
        <v>17.34</v>
      </c>
      <c r="G160" t="b">
        <v>0</v>
      </c>
      <c r="H160" s="2">
        <v>45817</v>
      </c>
      <c r="I160">
        <v>22</v>
      </c>
      <c r="J160" t="s">
        <v>54</v>
      </c>
      <c r="K160">
        <v>0</v>
      </c>
      <c r="L160" t="s">
        <v>66</v>
      </c>
      <c r="M160">
        <v>0.83333333333333337</v>
      </c>
      <c r="N160" t="s">
        <v>36</v>
      </c>
      <c r="O160">
        <v>60</v>
      </c>
      <c r="P160" t="s">
        <v>37</v>
      </c>
      <c r="Q160">
        <v>0</v>
      </c>
      <c r="R160">
        <v>0</v>
      </c>
      <c r="S160">
        <v>1</v>
      </c>
      <c r="T160">
        <v>25.9</v>
      </c>
      <c r="U160">
        <v>17.34</v>
      </c>
      <c r="V160" t="s">
        <v>38</v>
      </c>
      <c r="W160">
        <v>0</v>
      </c>
      <c r="X160" t="s">
        <v>59</v>
      </c>
    </row>
    <row r="161" spans="1:24" x14ac:dyDescent="0.3">
      <c r="A161" t="s">
        <v>213</v>
      </c>
      <c r="B161" t="s">
        <v>47</v>
      </c>
      <c r="C161" s="2">
        <v>45818.863888888889</v>
      </c>
      <c r="D161" s="2">
        <v>45818.874305555553</v>
      </c>
      <c r="E161">
        <v>0.25</v>
      </c>
      <c r="F161">
        <v>11.35</v>
      </c>
      <c r="G161" t="b">
        <v>0</v>
      </c>
      <c r="H161" s="2">
        <v>45818</v>
      </c>
      <c r="I161">
        <v>20</v>
      </c>
      <c r="J161" t="s">
        <v>56</v>
      </c>
      <c r="K161">
        <v>0</v>
      </c>
      <c r="L161" t="s">
        <v>42</v>
      </c>
      <c r="M161">
        <v>0.25</v>
      </c>
      <c r="N161" t="s">
        <v>49</v>
      </c>
      <c r="O161">
        <v>50</v>
      </c>
      <c r="P161" t="s">
        <v>50</v>
      </c>
      <c r="Q161">
        <v>0</v>
      </c>
      <c r="R161">
        <v>0</v>
      </c>
      <c r="S161">
        <v>0</v>
      </c>
      <c r="T161">
        <v>28.8</v>
      </c>
      <c r="U161">
        <v>11.35</v>
      </c>
      <c r="V161" t="s">
        <v>30</v>
      </c>
      <c r="W161">
        <v>0</v>
      </c>
      <c r="X161" t="s">
        <v>31</v>
      </c>
    </row>
    <row r="162" spans="1:24" x14ac:dyDescent="0.3">
      <c r="A162" t="s">
        <v>214</v>
      </c>
      <c r="B162" t="s">
        <v>40</v>
      </c>
      <c r="C162" s="2">
        <v>45819.914583333331</v>
      </c>
      <c r="D162" s="2">
        <v>45819.976388888892</v>
      </c>
      <c r="E162">
        <v>1.4833333333333329</v>
      </c>
      <c r="F162">
        <v>30.42</v>
      </c>
      <c r="G162" t="b">
        <v>0</v>
      </c>
      <c r="H162" s="2">
        <v>45819</v>
      </c>
      <c r="I162">
        <v>21</v>
      </c>
      <c r="J162" t="s">
        <v>26</v>
      </c>
      <c r="K162">
        <v>0</v>
      </c>
      <c r="L162" t="s">
        <v>66</v>
      </c>
      <c r="M162">
        <v>1.4833333333333329</v>
      </c>
      <c r="N162" t="s">
        <v>43</v>
      </c>
      <c r="O162">
        <v>100</v>
      </c>
      <c r="P162" t="s">
        <v>44</v>
      </c>
      <c r="Q162">
        <v>0</v>
      </c>
      <c r="R162">
        <v>0</v>
      </c>
      <c r="S162">
        <v>0</v>
      </c>
      <c r="T162">
        <v>29</v>
      </c>
      <c r="U162">
        <v>30.42</v>
      </c>
      <c r="V162" t="s">
        <v>38</v>
      </c>
      <c r="W162">
        <v>0</v>
      </c>
      <c r="X162" t="s">
        <v>31</v>
      </c>
    </row>
    <row r="163" spans="1:24" x14ac:dyDescent="0.3">
      <c r="A163" t="s">
        <v>215</v>
      </c>
      <c r="B163" t="s">
        <v>40</v>
      </c>
      <c r="C163" s="2">
        <v>45820.310416666667</v>
      </c>
      <c r="D163" s="2">
        <v>45820.643750000003</v>
      </c>
      <c r="E163">
        <v>8</v>
      </c>
      <c r="F163">
        <v>132.46</v>
      </c>
      <c r="G163" t="b">
        <v>0</v>
      </c>
      <c r="H163" s="2">
        <v>45820</v>
      </c>
      <c r="I163">
        <v>7</v>
      </c>
      <c r="J163" t="s">
        <v>34</v>
      </c>
      <c r="K163">
        <v>0</v>
      </c>
      <c r="L163" t="s">
        <v>35</v>
      </c>
      <c r="M163">
        <v>8</v>
      </c>
      <c r="N163" t="s">
        <v>43</v>
      </c>
      <c r="O163">
        <v>100</v>
      </c>
      <c r="P163" t="s">
        <v>44</v>
      </c>
      <c r="Q163">
        <v>0</v>
      </c>
      <c r="R163">
        <v>0</v>
      </c>
      <c r="S163">
        <v>0</v>
      </c>
      <c r="T163">
        <v>24.2</v>
      </c>
      <c r="U163">
        <v>132.46</v>
      </c>
      <c r="V163" t="s">
        <v>45</v>
      </c>
      <c r="W163">
        <v>0</v>
      </c>
      <c r="X163" t="s">
        <v>31</v>
      </c>
    </row>
    <row r="164" spans="1:24" x14ac:dyDescent="0.3">
      <c r="A164" t="s">
        <v>216</v>
      </c>
      <c r="B164" t="s">
        <v>61</v>
      </c>
      <c r="C164" s="2">
        <v>45821.601388888892</v>
      </c>
      <c r="D164" s="2">
        <v>45821.678472222222</v>
      </c>
      <c r="E164">
        <v>1.85</v>
      </c>
      <c r="F164">
        <v>27.54</v>
      </c>
      <c r="G164" t="b">
        <v>0</v>
      </c>
      <c r="H164" s="2">
        <v>45821</v>
      </c>
      <c r="I164">
        <v>14</v>
      </c>
      <c r="J164" t="s">
        <v>41</v>
      </c>
      <c r="K164">
        <v>0</v>
      </c>
      <c r="L164" t="s">
        <v>27</v>
      </c>
      <c r="M164">
        <v>1.85</v>
      </c>
      <c r="N164" t="s">
        <v>62</v>
      </c>
      <c r="O164">
        <v>80</v>
      </c>
      <c r="P164" t="s">
        <v>37</v>
      </c>
      <c r="Q164">
        <v>0</v>
      </c>
      <c r="R164">
        <v>0</v>
      </c>
      <c r="S164">
        <v>0</v>
      </c>
      <c r="T164">
        <v>30.8</v>
      </c>
      <c r="U164">
        <v>27.54</v>
      </c>
      <c r="V164" t="s">
        <v>38</v>
      </c>
      <c r="W164">
        <v>0</v>
      </c>
      <c r="X164" t="s">
        <v>31</v>
      </c>
    </row>
    <row r="165" spans="1:24" x14ac:dyDescent="0.3">
      <c r="A165" t="s">
        <v>217</v>
      </c>
      <c r="B165" t="s">
        <v>40</v>
      </c>
      <c r="C165" s="2">
        <v>45822.65902777778</v>
      </c>
      <c r="D165" s="2">
        <v>45822.695138888892</v>
      </c>
      <c r="E165">
        <v>0.8666666666666667</v>
      </c>
      <c r="F165">
        <v>10</v>
      </c>
      <c r="G165" t="b">
        <v>0</v>
      </c>
      <c r="H165" s="2">
        <v>45822</v>
      </c>
      <c r="I165">
        <v>15</v>
      </c>
      <c r="J165" t="s">
        <v>48</v>
      </c>
      <c r="K165">
        <v>1</v>
      </c>
      <c r="L165" t="s">
        <v>27</v>
      </c>
      <c r="M165">
        <v>0.8666666666666667</v>
      </c>
      <c r="N165" t="s">
        <v>43</v>
      </c>
      <c r="O165">
        <v>100</v>
      </c>
      <c r="P165" t="s">
        <v>44</v>
      </c>
      <c r="Q165">
        <v>1</v>
      </c>
      <c r="R165">
        <v>0</v>
      </c>
      <c r="S165">
        <v>1</v>
      </c>
      <c r="T165">
        <v>30.5</v>
      </c>
      <c r="U165">
        <v>10</v>
      </c>
      <c r="V165" t="s">
        <v>45</v>
      </c>
      <c r="W165">
        <v>0</v>
      </c>
      <c r="X165" t="s">
        <v>59</v>
      </c>
    </row>
    <row r="166" spans="1:24" x14ac:dyDescent="0.3">
      <c r="A166" t="s">
        <v>218</v>
      </c>
      <c r="B166" t="s">
        <v>25</v>
      </c>
      <c r="C166" s="2">
        <v>45823.668749999997</v>
      </c>
      <c r="D166" s="2">
        <v>45823.784722222219</v>
      </c>
      <c r="E166">
        <v>2.7833333333333332</v>
      </c>
      <c r="F166">
        <v>39.92</v>
      </c>
      <c r="G166" t="b">
        <v>0</v>
      </c>
      <c r="H166" s="2">
        <v>45823</v>
      </c>
      <c r="I166">
        <v>16</v>
      </c>
      <c r="J166" t="s">
        <v>52</v>
      </c>
      <c r="K166">
        <v>1</v>
      </c>
      <c r="L166" t="s">
        <v>27</v>
      </c>
      <c r="M166">
        <v>2.7833333333333332</v>
      </c>
      <c r="N166" t="s">
        <v>28</v>
      </c>
      <c r="O166">
        <v>70</v>
      </c>
      <c r="P166" t="s">
        <v>29</v>
      </c>
      <c r="Q166">
        <v>1</v>
      </c>
      <c r="R166">
        <v>0</v>
      </c>
      <c r="S166">
        <v>1</v>
      </c>
      <c r="T166">
        <v>31</v>
      </c>
      <c r="U166">
        <v>39.92</v>
      </c>
      <c r="V166" t="s">
        <v>38</v>
      </c>
      <c r="W166">
        <v>0</v>
      </c>
      <c r="X166" t="s">
        <v>59</v>
      </c>
    </row>
    <row r="167" spans="1:24" x14ac:dyDescent="0.3">
      <c r="A167" t="s">
        <v>219</v>
      </c>
      <c r="B167" t="s">
        <v>33</v>
      </c>
      <c r="C167" s="2">
        <v>45824.364583333343</v>
      </c>
      <c r="D167" s="2">
        <v>45824.474305555559</v>
      </c>
      <c r="E167">
        <v>2.6333333333333329</v>
      </c>
      <c r="F167">
        <v>43.21</v>
      </c>
      <c r="G167" t="b">
        <v>0</v>
      </c>
      <c r="H167" s="2">
        <v>45824</v>
      </c>
      <c r="I167">
        <v>8</v>
      </c>
      <c r="J167" t="s">
        <v>54</v>
      </c>
      <c r="K167">
        <v>0</v>
      </c>
      <c r="L167" t="s">
        <v>35</v>
      </c>
      <c r="M167">
        <v>2.6333333333333329</v>
      </c>
      <c r="N167" t="s">
        <v>36</v>
      </c>
      <c r="O167">
        <v>60</v>
      </c>
      <c r="P167" t="s">
        <v>37</v>
      </c>
      <c r="Q167">
        <v>0</v>
      </c>
      <c r="R167">
        <v>0</v>
      </c>
      <c r="S167">
        <v>0</v>
      </c>
      <c r="T167">
        <v>33.6</v>
      </c>
      <c r="U167">
        <v>43.21</v>
      </c>
      <c r="V167" t="s">
        <v>30</v>
      </c>
      <c r="W167">
        <v>0</v>
      </c>
      <c r="X167" t="s">
        <v>31</v>
      </c>
    </row>
    <row r="168" spans="1:24" x14ac:dyDescent="0.3">
      <c r="A168" t="s">
        <v>220</v>
      </c>
      <c r="B168" t="s">
        <v>47</v>
      </c>
      <c r="C168" s="2">
        <v>45825.935416666667</v>
      </c>
      <c r="D168" s="2">
        <v>45825.96875</v>
      </c>
      <c r="E168">
        <v>0.8</v>
      </c>
      <c r="F168">
        <v>11.71</v>
      </c>
      <c r="G168" t="b">
        <v>0</v>
      </c>
      <c r="H168" s="2">
        <v>45825</v>
      </c>
      <c r="I168">
        <v>22</v>
      </c>
      <c r="J168" t="s">
        <v>56</v>
      </c>
      <c r="K168">
        <v>0</v>
      </c>
      <c r="L168" t="s">
        <v>66</v>
      </c>
      <c r="M168">
        <v>0.8</v>
      </c>
      <c r="N168" t="s">
        <v>49</v>
      </c>
      <c r="O168">
        <v>50</v>
      </c>
      <c r="P168" t="s">
        <v>50</v>
      </c>
      <c r="Q168">
        <v>0</v>
      </c>
      <c r="R168">
        <v>0</v>
      </c>
      <c r="S168">
        <v>0</v>
      </c>
      <c r="T168">
        <v>28.7</v>
      </c>
      <c r="U168">
        <v>11.71</v>
      </c>
      <c r="V168" t="s">
        <v>45</v>
      </c>
      <c r="W168">
        <v>0</v>
      </c>
      <c r="X168" t="s">
        <v>31</v>
      </c>
    </row>
    <row r="169" spans="1:24" x14ac:dyDescent="0.3">
      <c r="A169" t="s">
        <v>221</v>
      </c>
      <c r="B169" t="s">
        <v>61</v>
      </c>
      <c r="C169" s="2">
        <v>45826.273611111108</v>
      </c>
      <c r="D169" s="2">
        <v>45826.397222222222</v>
      </c>
      <c r="E169">
        <v>2.9666666666666668</v>
      </c>
      <c r="F169">
        <v>35.4</v>
      </c>
      <c r="G169" t="b">
        <v>0</v>
      </c>
      <c r="H169" s="2">
        <v>45826</v>
      </c>
      <c r="I169">
        <v>6</v>
      </c>
      <c r="J169" t="s">
        <v>26</v>
      </c>
      <c r="K169">
        <v>0</v>
      </c>
      <c r="L169" t="s">
        <v>35</v>
      </c>
      <c r="M169">
        <v>2.9666666666666668</v>
      </c>
      <c r="N169" t="s">
        <v>62</v>
      </c>
      <c r="O169">
        <v>80</v>
      </c>
      <c r="P169" t="s">
        <v>37</v>
      </c>
      <c r="Q169">
        <v>0</v>
      </c>
      <c r="R169">
        <v>0</v>
      </c>
      <c r="S169">
        <v>0</v>
      </c>
      <c r="T169">
        <v>28</v>
      </c>
      <c r="U169">
        <v>35.4</v>
      </c>
      <c r="V169" t="s">
        <v>30</v>
      </c>
      <c r="W169">
        <v>0</v>
      </c>
      <c r="X169" t="s">
        <v>31</v>
      </c>
    </row>
    <row r="170" spans="1:24" x14ac:dyDescent="0.3">
      <c r="A170" t="s">
        <v>222</v>
      </c>
      <c r="B170" t="s">
        <v>33</v>
      </c>
      <c r="C170" s="2">
        <v>45827.611111111109</v>
      </c>
      <c r="D170" s="2">
        <v>45827.716666666667</v>
      </c>
      <c r="E170">
        <v>2.5333333333333332</v>
      </c>
      <c r="F170">
        <v>39.92</v>
      </c>
      <c r="G170" t="b">
        <v>0</v>
      </c>
      <c r="H170" s="2">
        <v>45827</v>
      </c>
      <c r="I170">
        <v>14</v>
      </c>
      <c r="J170" t="s">
        <v>34</v>
      </c>
      <c r="K170">
        <v>0</v>
      </c>
      <c r="L170" t="s">
        <v>27</v>
      </c>
      <c r="M170">
        <v>2.5333333333333332</v>
      </c>
      <c r="N170" t="s">
        <v>36</v>
      </c>
      <c r="O170">
        <v>60</v>
      </c>
      <c r="P170" t="s">
        <v>37</v>
      </c>
      <c r="Q170">
        <v>0</v>
      </c>
      <c r="R170">
        <v>0</v>
      </c>
      <c r="S170">
        <v>0</v>
      </c>
      <c r="T170">
        <v>32.4</v>
      </c>
      <c r="U170">
        <v>39.92</v>
      </c>
      <c r="V170" t="s">
        <v>38</v>
      </c>
      <c r="W170">
        <v>0</v>
      </c>
      <c r="X170" t="s">
        <v>31</v>
      </c>
    </row>
    <row r="171" spans="1:24" x14ac:dyDescent="0.3">
      <c r="A171" t="s">
        <v>223</v>
      </c>
      <c r="B171" t="s">
        <v>61</v>
      </c>
      <c r="C171" s="2">
        <v>45828.672222222223</v>
      </c>
      <c r="D171" s="2">
        <v>45828.73541666667</v>
      </c>
      <c r="E171">
        <v>1.5166666666666671</v>
      </c>
      <c r="F171">
        <v>23.35</v>
      </c>
      <c r="G171" t="b">
        <v>0</v>
      </c>
      <c r="H171" s="2">
        <v>45828</v>
      </c>
      <c r="I171">
        <v>16</v>
      </c>
      <c r="J171" t="s">
        <v>41</v>
      </c>
      <c r="K171">
        <v>0</v>
      </c>
      <c r="L171" t="s">
        <v>27</v>
      </c>
      <c r="M171">
        <v>1.5166666666666671</v>
      </c>
      <c r="N171" t="s">
        <v>62</v>
      </c>
      <c r="O171">
        <v>80</v>
      </c>
      <c r="P171" t="s">
        <v>37</v>
      </c>
      <c r="Q171">
        <v>0</v>
      </c>
      <c r="R171">
        <v>0</v>
      </c>
      <c r="S171">
        <v>1</v>
      </c>
      <c r="T171">
        <v>29.7</v>
      </c>
      <c r="U171">
        <v>23.35</v>
      </c>
      <c r="V171" t="s">
        <v>38</v>
      </c>
      <c r="W171">
        <v>0</v>
      </c>
      <c r="X171" t="s">
        <v>59</v>
      </c>
    </row>
    <row r="172" spans="1:24" x14ac:dyDescent="0.3">
      <c r="A172" t="s">
        <v>224</v>
      </c>
      <c r="B172" t="s">
        <v>61</v>
      </c>
      <c r="C172" s="2">
        <v>45829.256944444453</v>
      </c>
      <c r="D172" s="2">
        <v>45829.317361111112</v>
      </c>
      <c r="E172">
        <v>1.45</v>
      </c>
      <c r="F172">
        <v>24.73</v>
      </c>
      <c r="G172" t="b">
        <v>0</v>
      </c>
      <c r="H172" s="2">
        <v>45829</v>
      </c>
      <c r="I172">
        <v>6</v>
      </c>
      <c r="J172" t="s">
        <v>48</v>
      </c>
      <c r="K172">
        <v>1</v>
      </c>
      <c r="L172" t="s">
        <v>35</v>
      </c>
      <c r="M172">
        <v>1.45</v>
      </c>
      <c r="N172" t="s">
        <v>62</v>
      </c>
      <c r="O172">
        <v>80</v>
      </c>
      <c r="P172" t="s">
        <v>37</v>
      </c>
      <c r="Q172">
        <v>1</v>
      </c>
      <c r="R172">
        <v>0</v>
      </c>
      <c r="S172">
        <v>0</v>
      </c>
      <c r="T172">
        <v>30</v>
      </c>
      <c r="U172">
        <v>24.73</v>
      </c>
      <c r="V172" t="s">
        <v>30</v>
      </c>
      <c r="W172">
        <v>0</v>
      </c>
      <c r="X172" t="s">
        <v>31</v>
      </c>
    </row>
    <row r="173" spans="1:24" x14ac:dyDescent="0.3">
      <c r="A173" t="s">
        <v>225</v>
      </c>
      <c r="B173" t="s">
        <v>33</v>
      </c>
      <c r="C173" s="2">
        <v>45830.5625</v>
      </c>
      <c r="D173" s="2">
        <v>45830.650694444441</v>
      </c>
      <c r="E173">
        <v>2.1166666666666671</v>
      </c>
      <c r="F173">
        <v>42.47</v>
      </c>
      <c r="G173" t="b">
        <v>0</v>
      </c>
      <c r="H173" s="2">
        <v>45830</v>
      </c>
      <c r="I173">
        <v>13</v>
      </c>
      <c r="J173" t="s">
        <v>52</v>
      </c>
      <c r="K173">
        <v>1</v>
      </c>
      <c r="L173" t="s">
        <v>27</v>
      </c>
      <c r="M173">
        <v>2.1166666666666671</v>
      </c>
      <c r="N173" t="s">
        <v>36</v>
      </c>
      <c r="O173">
        <v>60</v>
      </c>
      <c r="P173" t="s">
        <v>37</v>
      </c>
      <c r="Q173">
        <v>1</v>
      </c>
      <c r="R173">
        <v>0</v>
      </c>
      <c r="S173">
        <v>0</v>
      </c>
      <c r="T173">
        <v>31.6</v>
      </c>
      <c r="U173">
        <v>42.47</v>
      </c>
      <c r="V173" t="s">
        <v>45</v>
      </c>
      <c r="W173">
        <v>0</v>
      </c>
      <c r="X173" t="s">
        <v>31</v>
      </c>
    </row>
    <row r="174" spans="1:24" x14ac:dyDescent="0.3">
      <c r="A174" t="s">
        <v>226</v>
      </c>
      <c r="B174" t="s">
        <v>40</v>
      </c>
      <c r="C174" s="2">
        <v>45831.621527777781</v>
      </c>
      <c r="D174" s="2">
        <v>45831.677777777782</v>
      </c>
      <c r="E174">
        <v>1.35</v>
      </c>
      <c r="F174">
        <v>19.61</v>
      </c>
      <c r="G174" t="b">
        <v>0</v>
      </c>
      <c r="H174" s="2">
        <v>45831</v>
      </c>
      <c r="I174">
        <v>14</v>
      </c>
      <c r="J174" t="s">
        <v>54</v>
      </c>
      <c r="K174">
        <v>0</v>
      </c>
      <c r="L174" t="s">
        <v>27</v>
      </c>
      <c r="M174">
        <v>1.35</v>
      </c>
      <c r="N174" t="s">
        <v>43</v>
      </c>
      <c r="O174">
        <v>100</v>
      </c>
      <c r="P174" t="s">
        <v>44</v>
      </c>
      <c r="Q174">
        <v>0</v>
      </c>
      <c r="R174">
        <v>0</v>
      </c>
      <c r="S174">
        <v>0</v>
      </c>
      <c r="T174">
        <v>31.3</v>
      </c>
      <c r="U174">
        <v>19.61</v>
      </c>
      <c r="V174" t="s">
        <v>45</v>
      </c>
      <c r="W174">
        <v>0</v>
      </c>
      <c r="X174" t="s">
        <v>31</v>
      </c>
    </row>
    <row r="175" spans="1:24" x14ac:dyDescent="0.3">
      <c r="A175" t="s">
        <v>227</v>
      </c>
      <c r="B175" t="s">
        <v>33</v>
      </c>
      <c r="C175" s="2">
        <v>45832.802083333343</v>
      </c>
      <c r="D175" s="2">
        <v>45832.969444444447</v>
      </c>
      <c r="E175">
        <v>4.0166666666666666</v>
      </c>
      <c r="F175">
        <v>76.08</v>
      </c>
      <c r="G175" t="b">
        <v>0</v>
      </c>
      <c r="H175" s="2">
        <v>45832</v>
      </c>
      <c r="I175">
        <v>19</v>
      </c>
      <c r="J175" t="s">
        <v>56</v>
      </c>
      <c r="K175">
        <v>0</v>
      </c>
      <c r="L175" t="s">
        <v>42</v>
      </c>
      <c r="M175">
        <v>4.0166666666666666</v>
      </c>
      <c r="N175" t="s">
        <v>36</v>
      </c>
      <c r="O175">
        <v>60</v>
      </c>
      <c r="P175" t="s">
        <v>37</v>
      </c>
      <c r="Q175">
        <v>0</v>
      </c>
      <c r="R175">
        <v>0</v>
      </c>
      <c r="S175">
        <v>0</v>
      </c>
      <c r="T175">
        <v>28.3</v>
      </c>
      <c r="U175">
        <v>76.08</v>
      </c>
      <c r="V175" t="s">
        <v>30</v>
      </c>
      <c r="W175">
        <v>0</v>
      </c>
      <c r="X175" t="s">
        <v>31</v>
      </c>
    </row>
    <row r="176" spans="1:24" x14ac:dyDescent="0.3">
      <c r="A176" t="s">
        <v>228</v>
      </c>
      <c r="B176" t="s">
        <v>40</v>
      </c>
      <c r="C176" s="2">
        <v>45833.451388888891</v>
      </c>
      <c r="D176" s="2">
        <v>45833.533333333333</v>
      </c>
      <c r="E176">
        <v>1.966666666666667</v>
      </c>
      <c r="F176">
        <v>25.61</v>
      </c>
      <c r="G176" t="b">
        <v>0</v>
      </c>
      <c r="H176" s="2">
        <v>45833</v>
      </c>
      <c r="I176">
        <v>10</v>
      </c>
      <c r="J176" t="s">
        <v>26</v>
      </c>
      <c r="K176">
        <v>0</v>
      </c>
      <c r="L176" t="s">
        <v>35</v>
      </c>
      <c r="M176">
        <v>1.966666666666667</v>
      </c>
      <c r="N176" t="s">
        <v>43</v>
      </c>
      <c r="O176">
        <v>100</v>
      </c>
      <c r="P176" t="s">
        <v>44</v>
      </c>
      <c r="Q176">
        <v>0</v>
      </c>
      <c r="R176">
        <v>0</v>
      </c>
      <c r="S176">
        <v>0</v>
      </c>
      <c r="T176">
        <v>30.3</v>
      </c>
      <c r="U176">
        <v>25.61</v>
      </c>
      <c r="V176" t="s">
        <v>30</v>
      </c>
      <c r="W176">
        <v>0</v>
      </c>
      <c r="X176" t="s">
        <v>31</v>
      </c>
    </row>
    <row r="177" spans="1:24" x14ac:dyDescent="0.3">
      <c r="A177" t="s">
        <v>229</v>
      </c>
      <c r="B177" t="s">
        <v>25</v>
      </c>
      <c r="C177" s="2">
        <v>45834.560416666667</v>
      </c>
      <c r="D177" s="2">
        <v>45834.591666666667</v>
      </c>
      <c r="E177">
        <v>0.75</v>
      </c>
      <c r="F177">
        <v>12.38</v>
      </c>
      <c r="G177" t="b">
        <v>0</v>
      </c>
      <c r="H177" s="2">
        <v>45834</v>
      </c>
      <c r="I177">
        <v>13</v>
      </c>
      <c r="J177" t="s">
        <v>34</v>
      </c>
      <c r="K177">
        <v>0</v>
      </c>
      <c r="L177" t="s">
        <v>27</v>
      </c>
      <c r="M177">
        <v>0.75</v>
      </c>
      <c r="N177" t="s">
        <v>28</v>
      </c>
      <c r="O177">
        <v>70</v>
      </c>
      <c r="P177" t="s">
        <v>29</v>
      </c>
      <c r="Q177">
        <v>0</v>
      </c>
      <c r="R177">
        <v>0</v>
      </c>
      <c r="S177">
        <v>1</v>
      </c>
      <c r="T177">
        <v>32.299999999999997</v>
      </c>
      <c r="U177">
        <v>12.38</v>
      </c>
      <c r="V177" t="s">
        <v>38</v>
      </c>
      <c r="W177">
        <v>0</v>
      </c>
      <c r="X177" t="s">
        <v>59</v>
      </c>
    </row>
    <row r="178" spans="1:24" x14ac:dyDescent="0.3">
      <c r="A178" t="s">
        <v>230</v>
      </c>
      <c r="B178" t="s">
        <v>25</v>
      </c>
      <c r="C178" s="2">
        <v>45835.445138888892</v>
      </c>
      <c r="D178" s="2">
        <v>45835.472916666673</v>
      </c>
      <c r="E178">
        <v>0.66666666666666663</v>
      </c>
      <c r="F178">
        <v>10</v>
      </c>
      <c r="G178" t="b">
        <v>0</v>
      </c>
      <c r="H178" s="2">
        <v>45835</v>
      </c>
      <c r="I178">
        <v>10</v>
      </c>
      <c r="J178" t="s">
        <v>41</v>
      </c>
      <c r="K178">
        <v>0</v>
      </c>
      <c r="L178" t="s">
        <v>35</v>
      </c>
      <c r="M178">
        <v>0.66666666666666663</v>
      </c>
      <c r="N178" t="s">
        <v>28</v>
      </c>
      <c r="O178">
        <v>70</v>
      </c>
      <c r="P178" t="s">
        <v>29</v>
      </c>
      <c r="Q178">
        <v>0</v>
      </c>
      <c r="R178">
        <v>0</v>
      </c>
      <c r="S178">
        <v>0</v>
      </c>
      <c r="T178">
        <v>34.5</v>
      </c>
      <c r="U178">
        <v>10</v>
      </c>
      <c r="V178" t="s">
        <v>38</v>
      </c>
      <c r="W178">
        <v>0</v>
      </c>
      <c r="X178" t="s">
        <v>31</v>
      </c>
    </row>
    <row r="179" spans="1:24" x14ac:dyDescent="0.3">
      <c r="A179" t="s">
        <v>231</v>
      </c>
      <c r="B179" t="s">
        <v>40</v>
      </c>
      <c r="C179" s="2">
        <v>45836.311805555553</v>
      </c>
      <c r="D179" s="2">
        <v>45836.515972222223</v>
      </c>
      <c r="E179">
        <v>4.9000000000000004</v>
      </c>
      <c r="F179">
        <v>74.650000000000006</v>
      </c>
      <c r="G179" t="b">
        <v>0</v>
      </c>
      <c r="H179" s="2">
        <v>45836</v>
      </c>
      <c r="I179">
        <v>7</v>
      </c>
      <c r="J179" t="s">
        <v>48</v>
      </c>
      <c r="K179">
        <v>1</v>
      </c>
      <c r="L179" t="s">
        <v>35</v>
      </c>
      <c r="M179">
        <v>4.9000000000000004</v>
      </c>
      <c r="N179" t="s">
        <v>43</v>
      </c>
      <c r="O179">
        <v>100</v>
      </c>
      <c r="P179" t="s">
        <v>44</v>
      </c>
      <c r="Q179">
        <v>1</v>
      </c>
      <c r="R179">
        <v>0</v>
      </c>
      <c r="S179">
        <v>0</v>
      </c>
      <c r="T179">
        <v>31.8</v>
      </c>
      <c r="U179">
        <v>74.650000000000006</v>
      </c>
      <c r="V179" t="s">
        <v>38</v>
      </c>
      <c r="W179">
        <v>0</v>
      </c>
      <c r="X179" t="s">
        <v>31</v>
      </c>
    </row>
    <row r="180" spans="1:24" x14ac:dyDescent="0.3">
      <c r="A180" t="s">
        <v>232</v>
      </c>
      <c r="B180" t="s">
        <v>47</v>
      </c>
      <c r="C180" s="2">
        <v>45837.652777777781</v>
      </c>
      <c r="D180" s="2">
        <v>45837.700694444437</v>
      </c>
      <c r="E180">
        <v>1.1499999999999999</v>
      </c>
      <c r="F180">
        <v>24.14</v>
      </c>
      <c r="G180" t="b">
        <v>0</v>
      </c>
      <c r="H180" s="2">
        <v>45837</v>
      </c>
      <c r="I180">
        <v>15</v>
      </c>
      <c r="J180" t="s">
        <v>52</v>
      </c>
      <c r="K180">
        <v>1</v>
      </c>
      <c r="L180" t="s">
        <v>27</v>
      </c>
      <c r="M180">
        <v>1.1499999999999999</v>
      </c>
      <c r="N180" t="s">
        <v>49</v>
      </c>
      <c r="O180">
        <v>50</v>
      </c>
      <c r="P180" t="s">
        <v>50</v>
      </c>
      <c r="Q180">
        <v>1</v>
      </c>
      <c r="R180">
        <v>0</v>
      </c>
      <c r="S180">
        <v>1</v>
      </c>
      <c r="T180">
        <v>25.8</v>
      </c>
      <c r="U180">
        <v>24.14</v>
      </c>
      <c r="V180" t="s">
        <v>30</v>
      </c>
      <c r="W180">
        <v>0</v>
      </c>
      <c r="X180" t="s">
        <v>59</v>
      </c>
    </row>
    <row r="181" spans="1:24" x14ac:dyDescent="0.3">
      <c r="A181" t="s">
        <v>233</v>
      </c>
      <c r="B181" t="s">
        <v>40</v>
      </c>
      <c r="C181" s="2">
        <v>45838.326388888891</v>
      </c>
      <c r="D181" s="2">
        <v>45838.378472222219</v>
      </c>
      <c r="E181">
        <v>1.25</v>
      </c>
      <c r="F181">
        <v>21.23</v>
      </c>
      <c r="G181" t="b">
        <v>0</v>
      </c>
      <c r="H181" s="2">
        <v>45838</v>
      </c>
      <c r="I181">
        <v>7</v>
      </c>
      <c r="J181" t="s">
        <v>54</v>
      </c>
      <c r="K181">
        <v>0</v>
      </c>
      <c r="L181" t="s">
        <v>35</v>
      </c>
      <c r="M181">
        <v>1.25</v>
      </c>
      <c r="N181" t="s">
        <v>43</v>
      </c>
      <c r="O181">
        <v>100</v>
      </c>
      <c r="P181" t="s">
        <v>44</v>
      </c>
      <c r="Q181">
        <v>0</v>
      </c>
      <c r="R181">
        <v>0</v>
      </c>
      <c r="S181">
        <v>1</v>
      </c>
      <c r="T181">
        <v>32.4</v>
      </c>
      <c r="U181">
        <v>21.23</v>
      </c>
      <c r="V181" t="s">
        <v>38</v>
      </c>
      <c r="W181">
        <v>0</v>
      </c>
      <c r="X181" t="s">
        <v>59</v>
      </c>
    </row>
    <row r="182" spans="1:24" x14ac:dyDescent="0.3">
      <c r="A182" t="s">
        <v>234</v>
      </c>
      <c r="B182" t="s">
        <v>25</v>
      </c>
      <c r="C182" s="2">
        <v>45839.753472222219</v>
      </c>
      <c r="D182" s="2">
        <v>45839.763888888891</v>
      </c>
      <c r="E182">
        <v>0.25</v>
      </c>
      <c r="F182">
        <v>10</v>
      </c>
      <c r="G182" t="b">
        <v>0</v>
      </c>
      <c r="H182" s="2">
        <v>45839</v>
      </c>
      <c r="I182">
        <v>18</v>
      </c>
      <c r="J182" t="s">
        <v>56</v>
      </c>
      <c r="K182">
        <v>0</v>
      </c>
      <c r="L182" t="s">
        <v>42</v>
      </c>
      <c r="M182">
        <v>0.25</v>
      </c>
      <c r="N182" t="s">
        <v>28</v>
      </c>
      <c r="O182">
        <v>70</v>
      </c>
      <c r="P182" t="s">
        <v>29</v>
      </c>
      <c r="Q182">
        <v>0</v>
      </c>
      <c r="R182">
        <v>0</v>
      </c>
      <c r="S182">
        <v>0</v>
      </c>
      <c r="T182">
        <v>31.2</v>
      </c>
      <c r="U182">
        <v>10</v>
      </c>
      <c r="V182" t="s">
        <v>38</v>
      </c>
      <c r="W182">
        <v>0</v>
      </c>
      <c r="X182" t="s">
        <v>31</v>
      </c>
    </row>
    <row r="183" spans="1:24" x14ac:dyDescent="0.3">
      <c r="A183" t="s">
        <v>235</v>
      </c>
      <c r="B183" t="s">
        <v>25</v>
      </c>
      <c r="C183" s="2">
        <v>45840.57708333333</v>
      </c>
      <c r="D183" s="2">
        <v>45840.587500000001</v>
      </c>
      <c r="E183">
        <v>0.25</v>
      </c>
      <c r="F183">
        <v>13.35</v>
      </c>
      <c r="G183" t="b">
        <v>0</v>
      </c>
      <c r="H183" s="2">
        <v>45840</v>
      </c>
      <c r="I183">
        <v>13</v>
      </c>
      <c r="J183" t="s">
        <v>26</v>
      </c>
      <c r="K183">
        <v>0</v>
      </c>
      <c r="L183" t="s">
        <v>27</v>
      </c>
      <c r="M183">
        <v>0.25</v>
      </c>
      <c r="N183" t="s">
        <v>28</v>
      </c>
      <c r="O183">
        <v>70</v>
      </c>
      <c r="P183" t="s">
        <v>29</v>
      </c>
      <c r="Q183">
        <v>0</v>
      </c>
      <c r="R183">
        <v>0</v>
      </c>
      <c r="S183">
        <v>0</v>
      </c>
      <c r="T183">
        <v>33.799999999999997</v>
      </c>
      <c r="U183">
        <v>13.35</v>
      </c>
      <c r="V183" t="s">
        <v>45</v>
      </c>
      <c r="W183">
        <v>0</v>
      </c>
      <c r="X183" t="s">
        <v>31</v>
      </c>
    </row>
    <row r="184" spans="1:24" x14ac:dyDescent="0.3">
      <c r="A184" t="s">
        <v>236</v>
      </c>
      <c r="B184" t="s">
        <v>33</v>
      </c>
      <c r="C184" s="2">
        <v>45841.775000000001</v>
      </c>
      <c r="D184" s="2">
        <v>45841.875</v>
      </c>
      <c r="E184">
        <v>2.4</v>
      </c>
      <c r="F184">
        <v>37.28</v>
      </c>
      <c r="G184" t="b">
        <v>0</v>
      </c>
      <c r="H184" s="2">
        <v>45841</v>
      </c>
      <c r="I184">
        <v>18</v>
      </c>
      <c r="J184" t="s">
        <v>34</v>
      </c>
      <c r="K184">
        <v>0</v>
      </c>
      <c r="L184" t="s">
        <v>42</v>
      </c>
      <c r="M184">
        <v>2.4</v>
      </c>
      <c r="N184" t="s">
        <v>36</v>
      </c>
      <c r="O184">
        <v>60</v>
      </c>
      <c r="P184" t="s">
        <v>37</v>
      </c>
      <c r="Q184">
        <v>0</v>
      </c>
      <c r="R184">
        <v>0</v>
      </c>
      <c r="S184">
        <v>0</v>
      </c>
      <c r="T184">
        <v>36.700000000000003</v>
      </c>
      <c r="U184">
        <v>37.28</v>
      </c>
      <c r="V184" t="s">
        <v>38</v>
      </c>
      <c r="W184">
        <v>0</v>
      </c>
      <c r="X184" t="s">
        <v>31</v>
      </c>
    </row>
    <row r="185" spans="1:24" x14ac:dyDescent="0.3">
      <c r="A185" t="s">
        <v>237</v>
      </c>
      <c r="B185" t="s">
        <v>47</v>
      </c>
      <c r="C185" s="2">
        <v>45842.635416666657</v>
      </c>
      <c r="D185" s="2">
        <v>45842.705555555563</v>
      </c>
      <c r="E185">
        <v>1.6833333333333329</v>
      </c>
      <c r="F185">
        <v>24.79</v>
      </c>
      <c r="G185" t="b">
        <v>0</v>
      </c>
      <c r="H185" s="2">
        <v>45842</v>
      </c>
      <c r="I185">
        <v>15</v>
      </c>
      <c r="J185" t="s">
        <v>41</v>
      </c>
      <c r="K185">
        <v>0</v>
      </c>
      <c r="L185" t="s">
        <v>27</v>
      </c>
      <c r="M185">
        <v>1.6833333333333329</v>
      </c>
      <c r="N185" t="s">
        <v>49</v>
      </c>
      <c r="O185">
        <v>50</v>
      </c>
      <c r="P185" t="s">
        <v>50</v>
      </c>
      <c r="Q185">
        <v>0</v>
      </c>
      <c r="R185">
        <v>0</v>
      </c>
      <c r="S185">
        <v>1</v>
      </c>
      <c r="T185">
        <v>33.6</v>
      </c>
      <c r="U185">
        <v>24.79</v>
      </c>
      <c r="V185" t="s">
        <v>30</v>
      </c>
      <c r="W185">
        <v>0</v>
      </c>
      <c r="X185" t="s">
        <v>59</v>
      </c>
    </row>
    <row r="186" spans="1:24" x14ac:dyDescent="0.3">
      <c r="A186" t="s">
        <v>238</v>
      </c>
      <c r="B186" t="s">
        <v>33</v>
      </c>
      <c r="C186" s="2">
        <v>45843.765277777777</v>
      </c>
      <c r="D186" s="2">
        <v>45843.788888888892</v>
      </c>
      <c r="E186">
        <v>0.56666666666666665</v>
      </c>
      <c r="F186">
        <v>12.93</v>
      </c>
      <c r="G186" t="b">
        <v>0</v>
      </c>
      <c r="H186" s="2">
        <v>45843</v>
      </c>
      <c r="I186">
        <v>18</v>
      </c>
      <c r="J186" t="s">
        <v>48</v>
      </c>
      <c r="K186">
        <v>1</v>
      </c>
      <c r="L186" t="s">
        <v>42</v>
      </c>
      <c r="M186">
        <v>0.56666666666666665</v>
      </c>
      <c r="N186" t="s">
        <v>36</v>
      </c>
      <c r="O186">
        <v>60</v>
      </c>
      <c r="P186" t="s">
        <v>37</v>
      </c>
      <c r="Q186">
        <v>1</v>
      </c>
      <c r="R186">
        <v>1</v>
      </c>
      <c r="S186">
        <v>0</v>
      </c>
      <c r="T186">
        <v>31.1</v>
      </c>
      <c r="U186">
        <v>12.93</v>
      </c>
      <c r="V186" t="s">
        <v>30</v>
      </c>
      <c r="W186">
        <v>1</v>
      </c>
      <c r="X186" t="s">
        <v>31</v>
      </c>
    </row>
    <row r="187" spans="1:24" x14ac:dyDescent="0.3">
      <c r="A187" t="s">
        <v>239</v>
      </c>
      <c r="B187" t="s">
        <v>33</v>
      </c>
      <c r="C187" s="2">
        <v>45844.45416666667</v>
      </c>
      <c r="D187" s="2">
        <v>45844.588194444441</v>
      </c>
      <c r="E187">
        <v>3.2166666666666668</v>
      </c>
      <c r="F187">
        <v>54.08</v>
      </c>
      <c r="G187" t="b">
        <v>0</v>
      </c>
      <c r="H187" s="2">
        <v>45844</v>
      </c>
      <c r="I187">
        <v>10</v>
      </c>
      <c r="J187" t="s">
        <v>52</v>
      </c>
      <c r="K187">
        <v>1</v>
      </c>
      <c r="L187" t="s">
        <v>35</v>
      </c>
      <c r="M187">
        <v>3.2166666666666668</v>
      </c>
      <c r="N187" t="s">
        <v>36</v>
      </c>
      <c r="O187">
        <v>60</v>
      </c>
      <c r="P187" t="s">
        <v>37</v>
      </c>
      <c r="Q187">
        <v>1</v>
      </c>
      <c r="R187">
        <v>0</v>
      </c>
      <c r="S187">
        <v>0</v>
      </c>
      <c r="T187">
        <v>24.1</v>
      </c>
      <c r="U187">
        <v>54.08</v>
      </c>
      <c r="V187" t="s">
        <v>38</v>
      </c>
      <c r="W187">
        <v>0</v>
      </c>
      <c r="X187" t="s">
        <v>31</v>
      </c>
    </row>
    <row r="188" spans="1:24" x14ac:dyDescent="0.3">
      <c r="A188" t="s">
        <v>240</v>
      </c>
      <c r="B188" t="s">
        <v>61</v>
      </c>
      <c r="C188" s="2">
        <v>45845.823611111111</v>
      </c>
      <c r="D188" s="2">
        <v>45846.118750000001</v>
      </c>
      <c r="E188">
        <v>7.083333333333333</v>
      </c>
      <c r="F188">
        <v>110.24</v>
      </c>
      <c r="G188" t="b">
        <v>0</v>
      </c>
      <c r="H188" s="2">
        <v>45845</v>
      </c>
      <c r="I188">
        <v>19</v>
      </c>
      <c r="J188" t="s">
        <v>54</v>
      </c>
      <c r="K188">
        <v>0</v>
      </c>
      <c r="L188" t="s">
        <v>42</v>
      </c>
      <c r="M188">
        <v>7.083333333333333</v>
      </c>
      <c r="N188" t="s">
        <v>62</v>
      </c>
      <c r="O188">
        <v>80</v>
      </c>
      <c r="P188" t="s">
        <v>37</v>
      </c>
      <c r="Q188">
        <v>0</v>
      </c>
      <c r="R188">
        <v>0</v>
      </c>
      <c r="S188">
        <v>0</v>
      </c>
      <c r="T188">
        <v>33.1</v>
      </c>
      <c r="U188">
        <v>110.24</v>
      </c>
      <c r="V188" t="s">
        <v>38</v>
      </c>
      <c r="W188">
        <v>0</v>
      </c>
      <c r="X188" t="s">
        <v>31</v>
      </c>
    </row>
    <row r="189" spans="1:24" x14ac:dyDescent="0.3">
      <c r="A189" t="s">
        <v>241</v>
      </c>
      <c r="B189" t="s">
        <v>25</v>
      </c>
      <c r="C189" s="2">
        <v>45846.922222222223</v>
      </c>
      <c r="F189">
        <v>47.93</v>
      </c>
      <c r="G189" t="b">
        <v>1</v>
      </c>
      <c r="H189" s="2">
        <v>45846</v>
      </c>
      <c r="I189">
        <v>22</v>
      </c>
      <c r="J189" t="s">
        <v>56</v>
      </c>
      <c r="K189">
        <v>0</v>
      </c>
      <c r="L189" t="s">
        <v>66</v>
      </c>
      <c r="N189" t="s">
        <v>28</v>
      </c>
      <c r="O189">
        <v>70</v>
      </c>
      <c r="P189" t="s">
        <v>29</v>
      </c>
      <c r="Q189">
        <v>0</v>
      </c>
      <c r="R189">
        <v>0</v>
      </c>
      <c r="S189">
        <v>0</v>
      </c>
      <c r="T189">
        <v>28.9</v>
      </c>
      <c r="U189">
        <v>47.93</v>
      </c>
      <c r="V189" t="s">
        <v>38</v>
      </c>
      <c r="W189">
        <v>0</v>
      </c>
      <c r="X189" t="s">
        <v>31</v>
      </c>
    </row>
    <row r="190" spans="1:24" x14ac:dyDescent="0.3">
      <c r="A190" t="s">
        <v>242</v>
      </c>
      <c r="B190" t="s">
        <v>33</v>
      </c>
      <c r="C190" s="2">
        <v>45847.442361111112</v>
      </c>
      <c r="D190" s="2">
        <v>45847.527777777781</v>
      </c>
      <c r="E190">
        <v>2.0499999999999998</v>
      </c>
      <c r="F190">
        <v>38.840000000000003</v>
      </c>
      <c r="G190" t="b">
        <v>0</v>
      </c>
      <c r="H190" s="2">
        <v>45847</v>
      </c>
      <c r="I190">
        <v>10</v>
      </c>
      <c r="J190" t="s">
        <v>26</v>
      </c>
      <c r="K190">
        <v>0</v>
      </c>
      <c r="L190" t="s">
        <v>35</v>
      </c>
      <c r="M190">
        <v>2.0499999999999998</v>
      </c>
      <c r="N190" t="s">
        <v>36</v>
      </c>
      <c r="O190">
        <v>60</v>
      </c>
      <c r="P190" t="s">
        <v>37</v>
      </c>
      <c r="Q190">
        <v>0</v>
      </c>
      <c r="R190">
        <v>0</v>
      </c>
      <c r="S190">
        <v>0</v>
      </c>
      <c r="T190">
        <v>28.9</v>
      </c>
      <c r="U190">
        <v>38.840000000000003</v>
      </c>
      <c r="V190" t="s">
        <v>38</v>
      </c>
      <c r="W190">
        <v>0</v>
      </c>
      <c r="X190" t="s">
        <v>31</v>
      </c>
    </row>
    <row r="191" spans="1:24" x14ac:dyDescent="0.3">
      <c r="A191" t="s">
        <v>243</v>
      </c>
      <c r="B191" t="s">
        <v>61</v>
      </c>
      <c r="C191" s="2">
        <v>45848.938888888893</v>
      </c>
      <c r="D191" s="2">
        <v>45849.053472222222</v>
      </c>
      <c r="E191">
        <v>2.75</v>
      </c>
      <c r="F191">
        <v>36.72</v>
      </c>
      <c r="G191" t="b">
        <v>0</v>
      </c>
      <c r="H191" s="2">
        <v>45848</v>
      </c>
      <c r="I191">
        <v>22</v>
      </c>
      <c r="J191" t="s">
        <v>34</v>
      </c>
      <c r="K191">
        <v>0</v>
      </c>
      <c r="L191" t="s">
        <v>66</v>
      </c>
      <c r="M191">
        <v>2.75</v>
      </c>
      <c r="N191" t="s">
        <v>62</v>
      </c>
      <c r="O191">
        <v>80</v>
      </c>
      <c r="P191" t="s">
        <v>37</v>
      </c>
      <c r="Q191">
        <v>0</v>
      </c>
      <c r="R191">
        <v>0</v>
      </c>
      <c r="S191">
        <v>1</v>
      </c>
      <c r="T191">
        <v>25.9</v>
      </c>
      <c r="U191">
        <v>36.72</v>
      </c>
      <c r="V191" t="s">
        <v>38</v>
      </c>
      <c r="W191">
        <v>0</v>
      </c>
      <c r="X191" t="s">
        <v>59</v>
      </c>
    </row>
    <row r="192" spans="1:24" x14ac:dyDescent="0.3">
      <c r="A192" t="s">
        <v>244</v>
      </c>
      <c r="B192" t="s">
        <v>61</v>
      </c>
      <c r="C192" s="2">
        <v>45849.856249999997</v>
      </c>
      <c r="D192" s="2">
        <v>45850.009722222218</v>
      </c>
      <c r="E192">
        <v>3.6833333333333331</v>
      </c>
      <c r="F192">
        <v>53.4</v>
      </c>
      <c r="G192" t="b">
        <v>0</v>
      </c>
      <c r="H192" s="2">
        <v>45849</v>
      </c>
      <c r="I192">
        <v>20</v>
      </c>
      <c r="J192" t="s">
        <v>41</v>
      </c>
      <c r="K192">
        <v>0</v>
      </c>
      <c r="L192" t="s">
        <v>42</v>
      </c>
      <c r="M192">
        <v>3.6833333333333331</v>
      </c>
      <c r="N192" t="s">
        <v>62</v>
      </c>
      <c r="O192">
        <v>80</v>
      </c>
      <c r="P192" t="s">
        <v>37</v>
      </c>
      <c r="Q192">
        <v>0</v>
      </c>
      <c r="R192">
        <v>0</v>
      </c>
      <c r="S192">
        <v>0</v>
      </c>
      <c r="T192">
        <v>34.6</v>
      </c>
      <c r="U192">
        <v>53.4</v>
      </c>
      <c r="V192" t="s">
        <v>45</v>
      </c>
      <c r="W192">
        <v>0</v>
      </c>
      <c r="X192" t="s">
        <v>31</v>
      </c>
    </row>
    <row r="193" spans="1:24" x14ac:dyDescent="0.3">
      <c r="A193" t="s">
        <v>245</v>
      </c>
      <c r="B193" t="s">
        <v>33</v>
      </c>
      <c r="C193" s="2">
        <v>45850.85833333333</v>
      </c>
      <c r="D193" s="2">
        <v>45850.96597222222</v>
      </c>
      <c r="E193">
        <v>2.583333333333333</v>
      </c>
      <c r="F193">
        <v>42.17</v>
      </c>
      <c r="G193" t="b">
        <v>0</v>
      </c>
      <c r="H193" s="2">
        <v>45850</v>
      </c>
      <c r="I193">
        <v>20</v>
      </c>
      <c r="J193" t="s">
        <v>48</v>
      </c>
      <c r="K193">
        <v>1</v>
      </c>
      <c r="L193" t="s">
        <v>42</v>
      </c>
      <c r="M193">
        <v>2.583333333333333</v>
      </c>
      <c r="N193" t="s">
        <v>36</v>
      </c>
      <c r="O193">
        <v>60</v>
      </c>
      <c r="P193" t="s">
        <v>37</v>
      </c>
      <c r="Q193">
        <v>1</v>
      </c>
      <c r="R193">
        <v>1</v>
      </c>
      <c r="S193">
        <v>0</v>
      </c>
      <c r="T193">
        <v>30.9</v>
      </c>
      <c r="U193">
        <v>42.17</v>
      </c>
      <c r="V193" t="s">
        <v>38</v>
      </c>
      <c r="W193">
        <v>1</v>
      </c>
      <c r="X193" t="s">
        <v>31</v>
      </c>
    </row>
    <row r="194" spans="1:24" x14ac:dyDescent="0.3">
      <c r="A194" t="s">
        <v>246</v>
      </c>
      <c r="B194" t="s">
        <v>40</v>
      </c>
      <c r="C194" s="2">
        <v>45851.280555555553</v>
      </c>
      <c r="D194" s="2">
        <v>45851.46875</v>
      </c>
      <c r="E194">
        <v>4.5166666666666666</v>
      </c>
      <c r="F194">
        <v>63.75</v>
      </c>
      <c r="G194" t="b">
        <v>0</v>
      </c>
      <c r="H194" s="2">
        <v>45851</v>
      </c>
      <c r="I194">
        <v>6</v>
      </c>
      <c r="J194" t="s">
        <v>52</v>
      </c>
      <c r="K194">
        <v>1</v>
      </c>
      <c r="L194" t="s">
        <v>35</v>
      </c>
      <c r="M194">
        <v>4.5166666666666666</v>
      </c>
      <c r="N194" t="s">
        <v>43</v>
      </c>
      <c r="O194">
        <v>100</v>
      </c>
      <c r="P194" t="s">
        <v>44</v>
      </c>
      <c r="Q194">
        <v>1</v>
      </c>
      <c r="R194">
        <v>0</v>
      </c>
      <c r="S194">
        <v>0</v>
      </c>
      <c r="T194">
        <v>26.1</v>
      </c>
      <c r="U194">
        <v>63.75</v>
      </c>
      <c r="V194" t="s">
        <v>38</v>
      </c>
      <c r="W194">
        <v>0</v>
      </c>
      <c r="X194" t="s">
        <v>31</v>
      </c>
    </row>
    <row r="195" spans="1:24" x14ac:dyDescent="0.3">
      <c r="A195" t="s">
        <v>247</v>
      </c>
      <c r="B195" t="s">
        <v>40</v>
      </c>
      <c r="C195" s="2">
        <v>45852.253472222219</v>
      </c>
      <c r="D195" s="2">
        <v>45852.354861111111</v>
      </c>
      <c r="E195">
        <v>2.4333333333333331</v>
      </c>
      <c r="F195">
        <v>42.23</v>
      </c>
      <c r="G195" t="b">
        <v>0</v>
      </c>
      <c r="H195" s="2">
        <v>45852</v>
      </c>
      <c r="I195">
        <v>6</v>
      </c>
      <c r="J195" t="s">
        <v>54</v>
      </c>
      <c r="K195">
        <v>0</v>
      </c>
      <c r="L195" t="s">
        <v>35</v>
      </c>
      <c r="M195">
        <v>2.4333333333333331</v>
      </c>
      <c r="N195" t="s">
        <v>43</v>
      </c>
      <c r="O195">
        <v>100</v>
      </c>
      <c r="P195" t="s">
        <v>44</v>
      </c>
      <c r="Q195">
        <v>0</v>
      </c>
      <c r="R195">
        <v>0</v>
      </c>
      <c r="S195">
        <v>0</v>
      </c>
      <c r="T195">
        <v>33.4</v>
      </c>
      <c r="U195">
        <v>42.23</v>
      </c>
      <c r="V195" t="s">
        <v>30</v>
      </c>
      <c r="W195">
        <v>0</v>
      </c>
      <c r="X195" t="s">
        <v>31</v>
      </c>
    </row>
    <row r="196" spans="1:24" x14ac:dyDescent="0.3">
      <c r="A196" t="s">
        <v>248</v>
      </c>
      <c r="B196" t="s">
        <v>40</v>
      </c>
      <c r="C196" s="2">
        <v>45853.680555555547</v>
      </c>
      <c r="D196" s="2">
        <v>45853.707638888889</v>
      </c>
      <c r="E196">
        <v>0.65</v>
      </c>
      <c r="F196">
        <v>10</v>
      </c>
      <c r="G196" t="b">
        <v>0</v>
      </c>
      <c r="H196" s="2">
        <v>45853</v>
      </c>
      <c r="I196">
        <v>16</v>
      </c>
      <c r="J196" t="s">
        <v>56</v>
      </c>
      <c r="K196">
        <v>0</v>
      </c>
      <c r="L196" t="s">
        <v>27</v>
      </c>
      <c r="M196">
        <v>0.65</v>
      </c>
      <c r="N196" t="s">
        <v>43</v>
      </c>
      <c r="O196">
        <v>100</v>
      </c>
      <c r="P196" t="s">
        <v>44</v>
      </c>
      <c r="Q196">
        <v>0</v>
      </c>
      <c r="R196">
        <v>0</v>
      </c>
      <c r="S196">
        <v>0</v>
      </c>
      <c r="T196">
        <v>22.3</v>
      </c>
      <c r="U196">
        <v>10</v>
      </c>
      <c r="V196" t="s">
        <v>30</v>
      </c>
      <c r="W196">
        <v>0</v>
      </c>
      <c r="X196" t="s">
        <v>31</v>
      </c>
    </row>
    <row r="197" spans="1:24" x14ac:dyDescent="0.3">
      <c r="A197" t="s">
        <v>249</v>
      </c>
      <c r="B197" t="s">
        <v>40</v>
      </c>
      <c r="C197" s="2">
        <v>45854.694444444453</v>
      </c>
      <c r="D197" s="2">
        <v>45854.745833333327</v>
      </c>
      <c r="E197">
        <v>1.2333333333333329</v>
      </c>
      <c r="F197">
        <v>27.75</v>
      </c>
      <c r="G197" t="b">
        <v>0</v>
      </c>
      <c r="H197" s="2">
        <v>45854</v>
      </c>
      <c r="I197">
        <v>16</v>
      </c>
      <c r="J197" t="s">
        <v>26</v>
      </c>
      <c r="K197">
        <v>0</v>
      </c>
      <c r="L197" t="s">
        <v>27</v>
      </c>
      <c r="M197">
        <v>1.2333333333333329</v>
      </c>
      <c r="N197" t="s">
        <v>43</v>
      </c>
      <c r="O197">
        <v>100</v>
      </c>
      <c r="P197" t="s">
        <v>44</v>
      </c>
      <c r="Q197">
        <v>0</v>
      </c>
      <c r="R197">
        <v>0</v>
      </c>
      <c r="S197">
        <v>1</v>
      </c>
      <c r="T197">
        <v>29.2</v>
      </c>
      <c r="U197">
        <v>27.75</v>
      </c>
      <c r="V197" t="s">
        <v>38</v>
      </c>
      <c r="W197">
        <v>0</v>
      </c>
      <c r="X197" t="s">
        <v>59</v>
      </c>
    </row>
    <row r="198" spans="1:24" x14ac:dyDescent="0.3">
      <c r="A198" t="s">
        <v>250</v>
      </c>
      <c r="B198" t="s">
        <v>33</v>
      </c>
      <c r="C198" s="2">
        <v>45855.757638888892</v>
      </c>
      <c r="D198" s="2">
        <v>45855.822222222218</v>
      </c>
      <c r="E198">
        <v>1.55</v>
      </c>
      <c r="F198">
        <v>27.16</v>
      </c>
      <c r="G198" t="b">
        <v>0</v>
      </c>
      <c r="H198" s="2">
        <v>45855</v>
      </c>
      <c r="I198">
        <v>18</v>
      </c>
      <c r="J198" t="s">
        <v>34</v>
      </c>
      <c r="K198">
        <v>0</v>
      </c>
      <c r="L198" t="s">
        <v>42</v>
      </c>
      <c r="M198">
        <v>1.55</v>
      </c>
      <c r="N198" t="s">
        <v>36</v>
      </c>
      <c r="O198">
        <v>60</v>
      </c>
      <c r="P198" t="s">
        <v>37</v>
      </c>
      <c r="Q198">
        <v>0</v>
      </c>
      <c r="R198">
        <v>0</v>
      </c>
      <c r="S198">
        <v>0</v>
      </c>
      <c r="T198">
        <v>28.7</v>
      </c>
      <c r="U198">
        <v>27.16</v>
      </c>
      <c r="V198" t="s">
        <v>38</v>
      </c>
      <c r="W198">
        <v>0</v>
      </c>
      <c r="X198" t="s">
        <v>31</v>
      </c>
    </row>
    <row r="199" spans="1:24" x14ac:dyDescent="0.3">
      <c r="A199" t="s">
        <v>251</v>
      </c>
      <c r="B199" t="s">
        <v>40</v>
      </c>
      <c r="C199" s="2">
        <v>45856.504166666673</v>
      </c>
      <c r="D199" s="2">
        <v>45856.765277777777</v>
      </c>
      <c r="E199">
        <v>6.2666666666666666</v>
      </c>
      <c r="F199">
        <v>104.48</v>
      </c>
      <c r="G199" t="b">
        <v>0</v>
      </c>
      <c r="H199" s="2">
        <v>45856</v>
      </c>
      <c r="I199">
        <v>12</v>
      </c>
      <c r="J199" t="s">
        <v>41</v>
      </c>
      <c r="K199">
        <v>0</v>
      </c>
      <c r="L199" t="s">
        <v>27</v>
      </c>
      <c r="M199">
        <v>6.2666666666666666</v>
      </c>
      <c r="N199" t="s">
        <v>43</v>
      </c>
      <c r="O199">
        <v>100</v>
      </c>
      <c r="P199" t="s">
        <v>44</v>
      </c>
      <c r="Q199">
        <v>0</v>
      </c>
      <c r="R199">
        <v>0</v>
      </c>
      <c r="S199">
        <v>0</v>
      </c>
      <c r="T199">
        <v>29.1</v>
      </c>
      <c r="U199">
        <v>104.48</v>
      </c>
      <c r="V199" t="s">
        <v>45</v>
      </c>
      <c r="W199">
        <v>0</v>
      </c>
      <c r="X199" t="s">
        <v>31</v>
      </c>
    </row>
    <row r="200" spans="1:24" x14ac:dyDescent="0.3">
      <c r="A200" t="s">
        <v>252</v>
      </c>
      <c r="B200" t="s">
        <v>33</v>
      </c>
      <c r="C200" s="2">
        <v>45858.275000000001</v>
      </c>
      <c r="D200" s="2">
        <v>45858.337500000001</v>
      </c>
      <c r="E200">
        <v>1.5</v>
      </c>
      <c r="F200">
        <v>26.1</v>
      </c>
      <c r="G200" t="b">
        <v>0</v>
      </c>
      <c r="H200" s="2">
        <v>45858</v>
      </c>
      <c r="I200">
        <v>6</v>
      </c>
      <c r="J200" t="s">
        <v>52</v>
      </c>
      <c r="K200">
        <v>1</v>
      </c>
      <c r="L200" t="s">
        <v>35</v>
      </c>
      <c r="M200">
        <v>1.5</v>
      </c>
      <c r="N200" t="s">
        <v>36</v>
      </c>
      <c r="O200">
        <v>60</v>
      </c>
      <c r="P200" t="s">
        <v>37</v>
      </c>
      <c r="Q200">
        <v>1</v>
      </c>
      <c r="R200">
        <v>0</v>
      </c>
      <c r="S200">
        <v>0</v>
      </c>
      <c r="T200">
        <v>24.9</v>
      </c>
      <c r="U200">
        <v>26.1</v>
      </c>
      <c r="V200" t="s">
        <v>38</v>
      </c>
      <c r="W200">
        <v>0</v>
      </c>
      <c r="X200" t="s">
        <v>31</v>
      </c>
    </row>
    <row r="201" spans="1:24" x14ac:dyDescent="0.3">
      <c r="A201" t="s">
        <v>253</v>
      </c>
      <c r="B201" t="s">
        <v>33</v>
      </c>
      <c r="C201" s="2">
        <v>45859.386805555558</v>
      </c>
      <c r="D201" s="2">
        <v>45859.40347222222</v>
      </c>
      <c r="E201">
        <v>0.4</v>
      </c>
      <c r="F201">
        <v>10</v>
      </c>
      <c r="G201" t="b">
        <v>0</v>
      </c>
      <c r="H201" s="2">
        <v>45859</v>
      </c>
      <c r="I201">
        <v>9</v>
      </c>
      <c r="J201" t="s">
        <v>54</v>
      </c>
      <c r="K201">
        <v>0</v>
      </c>
      <c r="L201" t="s">
        <v>35</v>
      </c>
      <c r="M201">
        <v>0.4</v>
      </c>
      <c r="N201" t="s">
        <v>36</v>
      </c>
      <c r="O201">
        <v>60</v>
      </c>
      <c r="P201" t="s">
        <v>37</v>
      </c>
      <c r="Q201">
        <v>0</v>
      </c>
      <c r="R201">
        <v>0</v>
      </c>
      <c r="S201">
        <v>0</v>
      </c>
      <c r="T201">
        <v>27.3</v>
      </c>
      <c r="U201">
        <v>10</v>
      </c>
      <c r="V201" t="s">
        <v>30</v>
      </c>
      <c r="W201">
        <v>0</v>
      </c>
      <c r="X201" t="s">
        <v>31</v>
      </c>
    </row>
    <row r="202" spans="1:24" x14ac:dyDescent="0.3">
      <c r="A202" t="s">
        <v>254</v>
      </c>
      <c r="B202" t="s">
        <v>47</v>
      </c>
      <c r="C202" s="2">
        <v>45860.394444444442</v>
      </c>
      <c r="D202" s="2">
        <v>45860.435416666667</v>
      </c>
      <c r="E202">
        <v>0.98333333333333328</v>
      </c>
      <c r="F202">
        <v>10</v>
      </c>
      <c r="G202" t="b">
        <v>0</v>
      </c>
      <c r="H202" s="2">
        <v>45860</v>
      </c>
      <c r="I202">
        <v>9</v>
      </c>
      <c r="J202" t="s">
        <v>56</v>
      </c>
      <c r="K202">
        <v>0</v>
      </c>
      <c r="L202" t="s">
        <v>35</v>
      </c>
      <c r="M202">
        <v>0.98333333333333328</v>
      </c>
      <c r="N202" t="s">
        <v>49</v>
      </c>
      <c r="O202">
        <v>50</v>
      </c>
      <c r="P202" t="s">
        <v>50</v>
      </c>
      <c r="Q202">
        <v>0</v>
      </c>
      <c r="R202">
        <v>0</v>
      </c>
      <c r="S202">
        <v>0</v>
      </c>
      <c r="T202">
        <v>29.7</v>
      </c>
      <c r="U202">
        <v>10</v>
      </c>
      <c r="V202" t="s">
        <v>38</v>
      </c>
      <c r="W202">
        <v>0</v>
      </c>
      <c r="X202" t="s">
        <v>31</v>
      </c>
    </row>
    <row r="203" spans="1:24" x14ac:dyDescent="0.3">
      <c r="A203" t="s">
        <v>255</v>
      </c>
      <c r="B203" t="s">
        <v>47</v>
      </c>
      <c r="C203" s="2">
        <v>45861.691666666673</v>
      </c>
      <c r="D203" s="2">
        <v>45861.723611111112</v>
      </c>
      <c r="E203">
        <v>0.76666666666666672</v>
      </c>
      <c r="F203">
        <v>10</v>
      </c>
      <c r="G203" t="b">
        <v>0</v>
      </c>
      <c r="H203" s="2">
        <v>45861</v>
      </c>
      <c r="I203">
        <v>16</v>
      </c>
      <c r="J203" t="s">
        <v>26</v>
      </c>
      <c r="K203">
        <v>0</v>
      </c>
      <c r="L203" t="s">
        <v>27</v>
      </c>
      <c r="M203">
        <v>0.76666666666666672</v>
      </c>
      <c r="N203" t="s">
        <v>49</v>
      </c>
      <c r="O203">
        <v>50</v>
      </c>
      <c r="P203" t="s">
        <v>50</v>
      </c>
      <c r="Q203">
        <v>0</v>
      </c>
      <c r="R203">
        <v>0</v>
      </c>
      <c r="S203">
        <v>1</v>
      </c>
      <c r="T203">
        <v>32.299999999999997</v>
      </c>
      <c r="U203">
        <v>10</v>
      </c>
      <c r="V203" t="s">
        <v>38</v>
      </c>
      <c r="W203">
        <v>0</v>
      </c>
      <c r="X203" t="s">
        <v>59</v>
      </c>
    </row>
    <row r="204" spans="1:24" x14ac:dyDescent="0.3">
      <c r="A204" t="s">
        <v>256</v>
      </c>
      <c r="B204" t="s">
        <v>47</v>
      </c>
      <c r="C204" s="2">
        <v>45862.934027777781</v>
      </c>
      <c r="D204" s="2">
        <v>45863.037499999999</v>
      </c>
      <c r="E204">
        <v>2.4833333333333329</v>
      </c>
      <c r="F204">
        <v>34.96</v>
      </c>
      <c r="G204" t="b">
        <v>0</v>
      </c>
      <c r="H204" s="2">
        <v>45862</v>
      </c>
      <c r="I204">
        <v>22</v>
      </c>
      <c r="J204" t="s">
        <v>34</v>
      </c>
      <c r="K204">
        <v>0</v>
      </c>
      <c r="L204" t="s">
        <v>66</v>
      </c>
      <c r="M204">
        <v>2.4833333333333329</v>
      </c>
      <c r="N204" t="s">
        <v>49</v>
      </c>
      <c r="O204">
        <v>50</v>
      </c>
      <c r="P204" t="s">
        <v>50</v>
      </c>
      <c r="Q204">
        <v>0</v>
      </c>
      <c r="R204">
        <v>0</v>
      </c>
      <c r="S204">
        <v>0</v>
      </c>
      <c r="T204">
        <v>34.6</v>
      </c>
      <c r="U204">
        <v>34.96</v>
      </c>
      <c r="V204" t="s">
        <v>45</v>
      </c>
      <c r="W204">
        <v>0</v>
      </c>
      <c r="X204" t="s">
        <v>31</v>
      </c>
    </row>
    <row r="205" spans="1:24" x14ac:dyDescent="0.3">
      <c r="A205" t="s">
        <v>257</v>
      </c>
      <c r="B205" t="s">
        <v>47</v>
      </c>
      <c r="C205" s="2">
        <v>45863.595833333333</v>
      </c>
      <c r="D205" s="2">
        <v>45863.611805555563</v>
      </c>
      <c r="E205">
        <v>0.38333333333333341</v>
      </c>
      <c r="F205">
        <v>10</v>
      </c>
      <c r="G205" t="b">
        <v>0</v>
      </c>
      <c r="H205" s="2">
        <v>45863</v>
      </c>
      <c r="I205">
        <v>14</v>
      </c>
      <c r="J205" t="s">
        <v>41</v>
      </c>
      <c r="K205">
        <v>0</v>
      </c>
      <c r="L205" t="s">
        <v>27</v>
      </c>
      <c r="M205">
        <v>0.38333333333333341</v>
      </c>
      <c r="N205" t="s">
        <v>49</v>
      </c>
      <c r="O205">
        <v>50</v>
      </c>
      <c r="P205" t="s">
        <v>50</v>
      </c>
      <c r="Q205">
        <v>0</v>
      </c>
      <c r="R205">
        <v>0</v>
      </c>
      <c r="S205">
        <v>1</v>
      </c>
      <c r="T205">
        <v>33.299999999999997</v>
      </c>
      <c r="U205">
        <v>10</v>
      </c>
      <c r="V205" t="s">
        <v>38</v>
      </c>
      <c r="W205">
        <v>0</v>
      </c>
      <c r="X205" t="s">
        <v>59</v>
      </c>
    </row>
    <row r="206" spans="1:24" x14ac:dyDescent="0.3">
      <c r="A206" t="s">
        <v>258</v>
      </c>
      <c r="B206" t="s">
        <v>47</v>
      </c>
      <c r="C206" s="2">
        <v>45864.859722222223</v>
      </c>
      <c r="D206" s="2">
        <v>45864.981249999997</v>
      </c>
      <c r="E206">
        <v>2.916666666666667</v>
      </c>
      <c r="F206">
        <v>35.36</v>
      </c>
      <c r="G206" t="b">
        <v>0</v>
      </c>
      <c r="H206" s="2">
        <v>45864</v>
      </c>
      <c r="I206">
        <v>20</v>
      </c>
      <c r="J206" t="s">
        <v>48</v>
      </c>
      <c r="K206">
        <v>1</v>
      </c>
      <c r="L206" t="s">
        <v>42</v>
      </c>
      <c r="M206">
        <v>2.916666666666667</v>
      </c>
      <c r="N206" t="s">
        <v>49</v>
      </c>
      <c r="O206">
        <v>50</v>
      </c>
      <c r="P206" t="s">
        <v>50</v>
      </c>
      <c r="Q206">
        <v>1</v>
      </c>
      <c r="R206">
        <v>1</v>
      </c>
      <c r="S206">
        <v>1</v>
      </c>
      <c r="T206">
        <v>28.9</v>
      </c>
      <c r="U206">
        <v>35.36</v>
      </c>
      <c r="V206" t="s">
        <v>38</v>
      </c>
      <c r="W206">
        <v>1</v>
      </c>
      <c r="X206" t="s">
        <v>59</v>
      </c>
    </row>
    <row r="207" spans="1:24" x14ac:dyDescent="0.3">
      <c r="A207" t="s">
        <v>259</v>
      </c>
      <c r="B207" t="s">
        <v>61</v>
      </c>
      <c r="C207" s="2">
        <v>45865.463194444441</v>
      </c>
      <c r="D207" s="2">
        <v>45865.590277777781</v>
      </c>
      <c r="E207">
        <v>3.05</v>
      </c>
      <c r="F207">
        <v>59.17</v>
      </c>
      <c r="G207" t="b">
        <v>0</v>
      </c>
      <c r="H207" s="2">
        <v>45865</v>
      </c>
      <c r="I207">
        <v>11</v>
      </c>
      <c r="J207" t="s">
        <v>52</v>
      </c>
      <c r="K207">
        <v>1</v>
      </c>
      <c r="L207" t="s">
        <v>35</v>
      </c>
      <c r="M207">
        <v>3.05</v>
      </c>
      <c r="N207" t="s">
        <v>62</v>
      </c>
      <c r="O207">
        <v>80</v>
      </c>
      <c r="P207" t="s">
        <v>37</v>
      </c>
      <c r="Q207">
        <v>1</v>
      </c>
      <c r="R207">
        <v>0</v>
      </c>
      <c r="S207">
        <v>1</v>
      </c>
      <c r="T207">
        <v>31</v>
      </c>
      <c r="U207">
        <v>59.17</v>
      </c>
      <c r="V207" t="s">
        <v>45</v>
      </c>
      <c r="W207">
        <v>0</v>
      </c>
      <c r="X207" t="s">
        <v>59</v>
      </c>
    </row>
    <row r="208" spans="1:24" x14ac:dyDescent="0.3">
      <c r="A208" t="s">
        <v>260</v>
      </c>
      <c r="B208" t="s">
        <v>61</v>
      </c>
      <c r="C208" s="2">
        <v>45866.62222222222</v>
      </c>
      <c r="D208" s="2">
        <v>45866.751388888893</v>
      </c>
      <c r="E208">
        <v>3.1</v>
      </c>
      <c r="F208">
        <v>52.97</v>
      </c>
      <c r="G208" t="b">
        <v>0</v>
      </c>
      <c r="H208" s="2">
        <v>45866</v>
      </c>
      <c r="I208">
        <v>14</v>
      </c>
      <c r="J208" t="s">
        <v>54</v>
      </c>
      <c r="K208">
        <v>0</v>
      </c>
      <c r="L208" t="s">
        <v>27</v>
      </c>
      <c r="M208">
        <v>3.1</v>
      </c>
      <c r="N208" t="s">
        <v>62</v>
      </c>
      <c r="O208">
        <v>80</v>
      </c>
      <c r="P208" t="s">
        <v>37</v>
      </c>
      <c r="Q208">
        <v>0</v>
      </c>
      <c r="R208">
        <v>0</v>
      </c>
      <c r="S208">
        <v>0</v>
      </c>
      <c r="T208">
        <v>30.7</v>
      </c>
      <c r="U208">
        <v>52.97</v>
      </c>
      <c r="V208" t="s">
        <v>38</v>
      </c>
      <c r="W208">
        <v>0</v>
      </c>
      <c r="X208" t="s">
        <v>31</v>
      </c>
    </row>
    <row r="209" spans="1:24" x14ac:dyDescent="0.3">
      <c r="A209" t="s">
        <v>261</v>
      </c>
      <c r="B209" t="s">
        <v>47</v>
      </c>
      <c r="C209" s="2">
        <v>45867.524305555547</v>
      </c>
      <c r="D209" s="2">
        <v>45867.544444444437</v>
      </c>
      <c r="E209">
        <v>0.48333333333333328</v>
      </c>
      <c r="F209">
        <v>12.49</v>
      </c>
      <c r="G209" t="b">
        <v>0</v>
      </c>
      <c r="H209" s="2">
        <v>45867</v>
      </c>
      <c r="I209">
        <v>12</v>
      </c>
      <c r="J209" t="s">
        <v>56</v>
      </c>
      <c r="K209">
        <v>0</v>
      </c>
      <c r="L209" t="s">
        <v>27</v>
      </c>
      <c r="M209">
        <v>0.48333333333333328</v>
      </c>
      <c r="N209" t="s">
        <v>49</v>
      </c>
      <c r="O209">
        <v>50</v>
      </c>
      <c r="P209" t="s">
        <v>50</v>
      </c>
      <c r="Q209">
        <v>0</v>
      </c>
      <c r="R209">
        <v>0</v>
      </c>
      <c r="S209">
        <v>0</v>
      </c>
      <c r="T209">
        <v>35.6</v>
      </c>
      <c r="U209">
        <v>12.49</v>
      </c>
      <c r="V209" t="s">
        <v>38</v>
      </c>
      <c r="W209">
        <v>0</v>
      </c>
      <c r="X209" t="s">
        <v>31</v>
      </c>
    </row>
    <row r="210" spans="1:24" x14ac:dyDescent="0.3">
      <c r="A210" t="s">
        <v>262</v>
      </c>
      <c r="B210" t="s">
        <v>40</v>
      </c>
      <c r="C210" s="2">
        <v>45868.379861111112</v>
      </c>
      <c r="D210" s="2">
        <v>45868.424305555563</v>
      </c>
      <c r="E210">
        <v>1.0666666666666671</v>
      </c>
      <c r="F210">
        <v>26.54</v>
      </c>
      <c r="G210" t="b">
        <v>0</v>
      </c>
      <c r="H210" s="2">
        <v>45868</v>
      </c>
      <c r="I210">
        <v>9</v>
      </c>
      <c r="J210" t="s">
        <v>26</v>
      </c>
      <c r="K210">
        <v>0</v>
      </c>
      <c r="L210" t="s">
        <v>35</v>
      </c>
      <c r="M210">
        <v>1.0666666666666671</v>
      </c>
      <c r="N210" t="s">
        <v>43</v>
      </c>
      <c r="O210">
        <v>100</v>
      </c>
      <c r="P210" t="s">
        <v>44</v>
      </c>
      <c r="Q210">
        <v>0</v>
      </c>
      <c r="R210">
        <v>0</v>
      </c>
      <c r="S210">
        <v>0</v>
      </c>
      <c r="T210">
        <v>26.4</v>
      </c>
      <c r="U210">
        <v>26.54</v>
      </c>
      <c r="V210" t="s">
        <v>30</v>
      </c>
      <c r="W210">
        <v>0</v>
      </c>
      <c r="X210" t="s">
        <v>31</v>
      </c>
    </row>
    <row r="211" spans="1:24" x14ac:dyDescent="0.3">
      <c r="A211" t="s">
        <v>263</v>
      </c>
      <c r="B211" t="s">
        <v>47</v>
      </c>
      <c r="C211" s="2">
        <v>45869.460416666669</v>
      </c>
      <c r="D211" s="2">
        <v>45869.477083333331</v>
      </c>
      <c r="E211">
        <v>0.4</v>
      </c>
      <c r="F211">
        <v>10</v>
      </c>
      <c r="G211" t="b">
        <v>0</v>
      </c>
      <c r="H211" s="2">
        <v>45869</v>
      </c>
      <c r="I211">
        <v>11</v>
      </c>
      <c r="J211" t="s">
        <v>34</v>
      </c>
      <c r="K211">
        <v>0</v>
      </c>
      <c r="L211" t="s">
        <v>35</v>
      </c>
      <c r="M211">
        <v>0.4</v>
      </c>
      <c r="N211" t="s">
        <v>49</v>
      </c>
      <c r="O211">
        <v>50</v>
      </c>
      <c r="P211" t="s">
        <v>50</v>
      </c>
      <c r="Q211">
        <v>0</v>
      </c>
      <c r="R211">
        <v>0</v>
      </c>
      <c r="S211">
        <v>0</v>
      </c>
      <c r="T211">
        <v>31.9</v>
      </c>
      <c r="U211">
        <v>10</v>
      </c>
      <c r="V211" t="s">
        <v>45</v>
      </c>
      <c r="W211">
        <v>0</v>
      </c>
      <c r="X211" t="s">
        <v>31</v>
      </c>
    </row>
    <row r="212" spans="1:24" x14ac:dyDescent="0.3">
      <c r="A212" t="s">
        <v>264</v>
      </c>
      <c r="B212" t="s">
        <v>33</v>
      </c>
      <c r="C212" s="2">
        <v>45870.253472222219</v>
      </c>
      <c r="D212" s="2">
        <v>45870.320138888892</v>
      </c>
      <c r="E212">
        <v>1.6</v>
      </c>
      <c r="F212">
        <v>26.76</v>
      </c>
      <c r="G212" t="b">
        <v>0</v>
      </c>
      <c r="H212" s="2">
        <v>45870</v>
      </c>
      <c r="I212">
        <v>6</v>
      </c>
      <c r="J212" t="s">
        <v>41</v>
      </c>
      <c r="K212">
        <v>0</v>
      </c>
      <c r="L212" t="s">
        <v>35</v>
      </c>
      <c r="M212">
        <v>1.6</v>
      </c>
      <c r="N212" t="s">
        <v>36</v>
      </c>
      <c r="O212">
        <v>60</v>
      </c>
      <c r="P212" t="s">
        <v>37</v>
      </c>
      <c r="Q212">
        <v>0</v>
      </c>
      <c r="R212">
        <v>0</v>
      </c>
      <c r="S212">
        <v>0</v>
      </c>
      <c r="T212">
        <v>26.2</v>
      </c>
      <c r="U212">
        <v>26.76</v>
      </c>
      <c r="V212" t="s">
        <v>45</v>
      </c>
      <c r="W212">
        <v>0</v>
      </c>
      <c r="X212" t="s">
        <v>31</v>
      </c>
    </row>
    <row r="213" spans="1:24" x14ac:dyDescent="0.3">
      <c r="A213" t="s">
        <v>265</v>
      </c>
      <c r="B213" t="s">
        <v>33</v>
      </c>
      <c r="C213" s="2">
        <v>45871.855555555558</v>
      </c>
      <c r="D213" s="2">
        <v>45871.931944444441</v>
      </c>
      <c r="E213">
        <v>1.833333333333333</v>
      </c>
      <c r="F213">
        <v>23.63</v>
      </c>
      <c r="G213" t="b">
        <v>0</v>
      </c>
      <c r="H213" s="2">
        <v>45871</v>
      </c>
      <c r="I213">
        <v>20</v>
      </c>
      <c r="J213" t="s">
        <v>48</v>
      </c>
      <c r="K213">
        <v>1</v>
      </c>
      <c r="L213" t="s">
        <v>42</v>
      </c>
      <c r="M213">
        <v>1.833333333333333</v>
      </c>
      <c r="N213" t="s">
        <v>36</v>
      </c>
      <c r="O213">
        <v>60</v>
      </c>
      <c r="P213" t="s">
        <v>37</v>
      </c>
      <c r="Q213">
        <v>1</v>
      </c>
      <c r="R213">
        <v>0</v>
      </c>
      <c r="S213">
        <v>0</v>
      </c>
      <c r="T213">
        <v>26.9</v>
      </c>
      <c r="U213">
        <v>23.63</v>
      </c>
      <c r="V213" t="s">
        <v>45</v>
      </c>
      <c r="W213">
        <v>0</v>
      </c>
      <c r="X213" t="s">
        <v>31</v>
      </c>
    </row>
    <row r="214" spans="1:24" x14ac:dyDescent="0.3">
      <c r="A214" t="s">
        <v>266</v>
      </c>
      <c r="B214" t="s">
        <v>40</v>
      </c>
      <c r="C214" s="2">
        <v>45872.951388888891</v>
      </c>
      <c r="D214" s="2">
        <v>45873.046527777777</v>
      </c>
      <c r="E214">
        <v>2.2833333333333332</v>
      </c>
      <c r="F214">
        <v>42.41</v>
      </c>
      <c r="G214" t="b">
        <v>0</v>
      </c>
      <c r="H214" s="2">
        <v>45872</v>
      </c>
      <c r="I214">
        <v>22</v>
      </c>
      <c r="J214" t="s">
        <v>52</v>
      </c>
      <c r="K214">
        <v>1</v>
      </c>
      <c r="L214" t="s">
        <v>66</v>
      </c>
      <c r="M214">
        <v>2.2833333333333332</v>
      </c>
      <c r="N214" t="s">
        <v>43</v>
      </c>
      <c r="O214">
        <v>100</v>
      </c>
      <c r="P214" t="s">
        <v>44</v>
      </c>
      <c r="Q214">
        <v>1</v>
      </c>
      <c r="R214">
        <v>0</v>
      </c>
      <c r="S214">
        <v>0</v>
      </c>
      <c r="T214">
        <v>27.2</v>
      </c>
      <c r="U214">
        <v>42.41</v>
      </c>
      <c r="V214" t="s">
        <v>45</v>
      </c>
      <c r="W214">
        <v>0</v>
      </c>
      <c r="X214" t="s">
        <v>31</v>
      </c>
    </row>
    <row r="215" spans="1:24" x14ac:dyDescent="0.3">
      <c r="A215" t="s">
        <v>267</v>
      </c>
      <c r="B215" t="s">
        <v>25</v>
      </c>
      <c r="C215" s="2">
        <v>45873.54791666667</v>
      </c>
      <c r="D215" s="2">
        <v>45873.751388888893</v>
      </c>
      <c r="E215">
        <v>4.8833333333333337</v>
      </c>
      <c r="F215">
        <v>76.69</v>
      </c>
      <c r="G215" t="b">
        <v>0</v>
      </c>
      <c r="H215" s="2">
        <v>45873</v>
      </c>
      <c r="I215">
        <v>13</v>
      </c>
      <c r="J215" t="s">
        <v>54</v>
      </c>
      <c r="K215">
        <v>0</v>
      </c>
      <c r="L215" t="s">
        <v>27</v>
      </c>
      <c r="M215">
        <v>4.8833333333333337</v>
      </c>
      <c r="N215" t="s">
        <v>28</v>
      </c>
      <c r="O215">
        <v>70</v>
      </c>
      <c r="P215" t="s">
        <v>29</v>
      </c>
      <c r="Q215">
        <v>0</v>
      </c>
      <c r="R215">
        <v>0</v>
      </c>
      <c r="S215">
        <v>1</v>
      </c>
      <c r="T215">
        <v>30.3</v>
      </c>
      <c r="U215">
        <v>76.69</v>
      </c>
      <c r="V215" t="s">
        <v>38</v>
      </c>
      <c r="W215">
        <v>0</v>
      </c>
      <c r="X215" t="s">
        <v>59</v>
      </c>
    </row>
    <row r="216" spans="1:24" x14ac:dyDescent="0.3">
      <c r="A216" t="s">
        <v>268</v>
      </c>
      <c r="B216" t="s">
        <v>61</v>
      </c>
      <c r="C216" s="2">
        <v>45874.607638888891</v>
      </c>
      <c r="D216" s="2">
        <v>45874.713888888888</v>
      </c>
      <c r="E216">
        <v>2.5499999999999998</v>
      </c>
      <c r="F216">
        <v>37.72</v>
      </c>
      <c r="G216" t="b">
        <v>0</v>
      </c>
      <c r="H216" s="2">
        <v>45874</v>
      </c>
      <c r="I216">
        <v>14</v>
      </c>
      <c r="J216" t="s">
        <v>56</v>
      </c>
      <c r="K216">
        <v>0</v>
      </c>
      <c r="L216" t="s">
        <v>27</v>
      </c>
      <c r="M216">
        <v>2.5499999999999998</v>
      </c>
      <c r="N216" t="s">
        <v>62</v>
      </c>
      <c r="O216">
        <v>80</v>
      </c>
      <c r="P216" t="s">
        <v>37</v>
      </c>
      <c r="Q216">
        <v>0</v>
      </c>
      <c r="R216">
        <v>0</v>
      </c>
      <c r="S216">
        <v>1</v>
      </c>
      <c r="T216">
        <v>33</v>
      </c>
      <c r="U216">
        <v>37.72</v>
      </c>
      <c r="V216" t="s">
        <v>38</v>
      </c>
      <c r="W216">
        <v>0</v>
      </c>
      <c r="X216" t="s">
        <v>59</v>
      </c>
    </row>
    <row r="217" spans="1:24" x14ac:dyDescent="0.3">
      <c r="A217" t="s">
        <v>269</v>
      </c>
      <c r="B217" t="s">
        <v>25</v>
      </c>
      <c r="C217" s="2">
        <v>45875.561805555553</v>
      </c>
      <c r="D217" s="2">
        <v>45875.697916666657</v>
      </c>
      <c r="E217">
        <v>3.2666666666666671</v>
      </c>
      <c r="F217">
        <v>56.43</v>
      </c>
      <c r="G217" t="b">
        <v>0</v>
      </c>
      <c r="H217" s="2">
        <v>45875</v>
      </c>
      <c r="I217">
        <v>13</v>
      </c>
      <c r="J217" t="s">
        <v>26</v>
      </c>
      <c r="K217">
        <v>0</v>
      </c>
      <c r="L217" t="s">
        <v>27</v>
      </c>
      <c r="M217">
        <v>3.2666666666666671</v>
      </c>
      <c r="N217" t="s">
        <v>28</v>
      </c>
      <c r="O217">
        <v>70</v>
      </c>
      <c r="P217" t="s">
        <v>29</v>
      </c>
      <c r="Q217">
        <v>0</v>
      </c>
      <c r="R217">
        <v>0</v>
      </c>
      <c r="S217">
        <v>0</v>
      </c>
      <c r="T217">
        <v>32.1</v>
      </c>
      <c r="U217">
        <v>56.43</v>
      </c>
      <c r="V217" t="s">
        <v>38</v>
      </c>
      <c r="W217">
        <v>0</v>
      </c>
      <c r="X217" t="s">
        <v>31</v>
      </c>
    </row>
    <row r="218" spans="1:24" x14ac:dyDescent="0.3">
      <c r="A218" t="s">
        <v>270</v>
      </c>
      <c r="B218" t="s">
        <v>33</v>
      </c>
      <c r="C218" s="2">
        <v>45876.727083333331</v>
      </c>
      <c r="D218" s="2">
        <v>45876.882638888892</v>
      </c>
      <c r="E218">
        <v>3.7333333333333329</v>
      </c>
      <c r="F218">
        <v>59.93</v>
      </c>
      <c r="G218" t="b">
        <v>0</v>
      </c>
      <c r="H218" s="2">
        <v>45876</v>
      </c>
      <c r="I218">
        <v>17</v>
      </c>
      <c r="J218" t="s">
        <v>34</v>
      </c>
      <c r="K218">
        <v>0</v>
      </c>
      <c r="L218" t="s">
        <v>42</v>
      </c>
      <c r="M218">
        <v>3.7333333333333329</v>
      </c>
      <c r="N218" t="s">
        <v>36</v>
      </c>
      <c r="O218">
        <v>60</v>
      </c>
      <c r="P218" t="s">
        <v>37</v>
      </c>
      <c r="Q218">
        <v>0</v>
      </c>
      <c r="R218">
        <v>0</v>
      </c>
      <c r="S218">
        <v>1</v>
      </c>
      <c r="T218">
        <v>23.3</v>
      </c>
      <c r="U218">
        <v>59.93</v>
      </c>
      <c r="V218" t="s">
        <v>38</v>
      </c>
      <c r="W218">
        <v>0</v>
      </c>
      <c r="X218" t="s">
        <v>59</v>
      </c>
    </row>
    <row r="219" spans="1:24" x14ac:dyDescent="0.3">
      <c r="A219" t="s">
        <v>271</v>
      </c>
      <c r="B219" t="s">
        <v>33</v>
      </c>
      <c r="C219" s="2">
        <v>45877.304166666669</v>
      </c>
      <c r="D219" s="2">
        <v>45877.4375</v>
      </c>
      <c r="E219">
        <v>3.2</v>
      </c>
      <c r="F219">
        <v>58.65</v>
      </c>
      <c r="G219" t="b">
        <v>0</v>
      </c>
      <c r="H219" s="2">
        <v>45877</v>
      </c>
      <c r="I219">
        <v>7</v>
      </c>
      <c r="J219" t="s">
        <v>41</v>
      </c>
      <c r="K219">
        <v>0</v>
      </c>
      <c r="L219" t="s">
        <v>35</v>
      </c>
      <c r="M219">
        <v>3.2</v>
      </c>
      <c r="N219" t="s">
        <v>36</v>
      </c>
      <c r="O219">
        <v>60</v>
      </c>
      <c r="P219" t="s">
        <v>37</v>
      </c>
      <c r="Q219">
        <v>0</v>
      </c>
      <c r="R219">
        <v>0</v>
      </c>
      <c r="S219">
        <v>0</v>
      </c>
      <c r="T219">
        <v>34</v>
      </c>
      <c r="U219">
        <v>58.65</v>
      </c>
      <c r="V219" t="s">
        <v>38</v>
      </c>
      <c r="W219">
        <v>0</v>
      </c>
      <c r="X219" t="s">
        <v>31</v>
      </c>
    </row>
    <row r="220" spans="1:24" x14ac:dyDescent="0.3">
      <c r="A220" t="s">
        <v>272</v>
      </c>
      <c r="B220" t="s">
        <v>40</v>
      </c>
      <c r="C220" s="2">
        <v>45878.909722222219</v>
      </c>
      <c r="D220" s="2">
        <v>45878.998611111107</v>
      </c>
      <c r="E220">
        <v>2.1333333333333329</v>
      </c>
      <c r="F220">
        <v>40.93</v>
      </c>
      <c r="G220" t="b">
        <v>0</v>
      </c>
      <c r="H220" s="2">
        <v>45878</v>
      </c>
      <c r="I220">
        <v>21</v>
      </c>
      <c r="J220" t="s">
        <v>48</v>
      </c>
      <c r="K220">
        <v>1</v>
      </c>
      <c r="L220" t="s">
        <v>66</v>
      </c>
      <c r="M220">
        <v>2.1333333333333329</v>
      </c>
      <c r="N220" t="s">
        <v>43</v>
      </c>
      <c r="O220">
        <v>100</v>
      </c>
      <c r="P220" t="s">
        <v>44</v>
      </c>
      <c r="Q220">
        <v>1</v>
      </c>
      <c r="R220">
        <v>0</v>
      </c>
      <c r="S220">
        <v>0</v>
      </c>
      <c r="T220">
        <v>32.299999999999997</v>
      </c>
      <c r="U220">
        <v>40.93</v>
      </c>
      <c r="V220" t="s">
        <v>38</v>
      </c>
      <c r="W220">
        <v>0</v>
      </c>
      <c r="X220" t="s">
        <v>31</v>
      </c>
    </row>
    <row r="221" spans="1:24" x14ac:dyDescent="0.3">
      <c r="A221" t="s">
        <v>273</v>
      </c>
      <c r="B221" t="s">
        <v>47</v>
      </c>
      <c r="C221" s="2">
        <v>45879.685416666667</v>
      </c>
      <c r="D221" s="2">
        <v>45879.695833333331</v>
      </c>
      <c r="E221">
        <v>0.25</v>
      </c>
      <c r="F221">
        <v>13.55</v>
      </c>
      <c r="G221" t="b">
        <v>0</v>
      </c>
      <c r="H221" s="2">
        <v>45879</v>
      </c>
      <c r="I221">
        <v>16</v>
      </c>
      <c r="J221" t="s">
        <v>52</v>
      </c>
      <c r="K221">
        <v>1</v>
      </c>
      <c r="L221" t="s">
        <v>27</v>
      </c>
      <c r="M221">
        <v>0.25</v>
      </c>
      <c r="N221" t="s">
        <v>49</v>
      </c>
      <c r="O221">
        <v>50</v>
      </c>
      <c r="P221" t="s">
        <v>50</v>
      </c>
      <c r="Q221">
        <v>1</v>
      </c>
      <c r="R221">
        <v>0</v>
      </c>
      <c r="S221">
        <v>1</v>
      </c>
      <c r="T221">
        <v>32.4</v>
      </c>
      <c r="U221">
        <v>13.55</v>
      </c>
      <c r="V221" t="s">
        <v>38</v>
      </c>
      <c r="W221">
        <v>0</v>
      </c>
      <c r="X221" t="s">
        <v>59</v>
      </c>
    </row>
    <row r="222" spans="1:24" x14ac:dyDescent="0.3">
      <c r="A222" t="s">
        <v>274</v>
      </c>
      <c r="B222" t="s">
        <v>33</v>
      </c>
      <c r="C222" s="2">
        <v>45880.86041666667</v>
      </c>
      <c r="D222" s="2">
        <v>45880.888888888891</v>
      </c>
      <c r="E222">
        <v>0.68333333333333335</v>
      </c>
      <c r="F222">
        <v>10</v>
      </c>
      <c r="G222" t="b">
        <v>0</v>
      </c>
      <c r="H222" s="2">
        <v>45880</v>
      </c>
      <c r="I222">
        <v>20</v>
      </c>
      <c r="J222" t="s">
        <v>54</v>
      </c>
      <c r="K222">
        <v>0</v>
      </c>
      <c r="L222" t="s">
        <v>42</v>
      </c>
      <c r="M222">
        <v>0.68333333333333335</v>
      </c>
      <c r="N222" t="s">
        <v>36</v>
      </c>
      <c r="O222">
        <v>60</v>
      </c>
      <c r="P222" t="s">
        <v>37</v>
      </c>
      <c r="Q222">
        <v>0</v>
      </c>
      <c r="R222">
        <v>0</v>
      </c>
      <c r="S222">
        <v>1</v>
      </c>
      <c r="T222">
        <v>39.6</v>
      </c>
      <c r="U222">
        <v>10</v>
      </c>
      <c r="V222" t="s">
        <v>38</v>
      </c>
      <c r="W222">
        <v>0</v>
      </c>
      <c r="X222" t="s">
        <v>59</v>
      </c>
    </row>
    <row r="223" spans="1:24" x14ac:dyDescent="0.3">
      <c r="A223" t="s">
        <v>275</v>
      </c>
      <c r="B223" t="s">
        <v>40</v>
      </c>
      <c r="C223" s="2">
        <v>45881.792361111111</v>
      </c>
      <c r="D223" s="2">
        <v>45881.940972222219</v>
      </c>
      <c r="E223">
        <v>3.5666666666666669</v>
      </c>
      <c r="F223">
        <v>61.69</v>
      </c>
      <c r="G223" t="b">
        <v>0</v>
      </c>
      <c r="H223" s="2">
        <v>45881</v>
      </c>
      <c r="I223">
        <v>19</v>
      </c>
      <c r="J223" t="s">
        <v>56</v>
      </c>
      <c r="K223">
        <v>0</v>
      </c>
      <c r="L223" t="s">
        <v>42</v>
      </c>
      <c r="M223">
        <v>3.5666666666666669</v>
      </c>
      <c r="N223" t="s">
        <v>43</v>
      </c>
      <c r="O223">
        <v>100</v>
      </c>
      <c r="P223" t="s">
        <v>44</v>
      </c>
      <c r="Q223">
        <v>0</v>
      </c>
      <c r="R223">
        <v>0</v>
      </c>
      <c r="S223">
        <v>0</v>
      </c>
      <c r="T223">
        <v>38.6</v>
      </c>
      <c r="U223">
        <v>61.69</v>
      </c>
      <c r="V223" t="s">
        <v>38</v>
      </c>
      <c r="W223">
        <v>0</v>
      </c>
      <c r="X223" t="s">
        <v>31</v>
      </c>
    </row>
    <row r="224" spans="1:24" x14ac:dyDescent="0.3">
      <c r="A224" t="s">
        <v>276</v>
      </c>
      <c r="B224" t="s">
        <v>33</v>
      </c>
      <c r="C224" s="2">
        <v>45882.506944444453</v>
      </c>
      <c r="D224" s="2">
        <v>45882.538888888892</v>
      </c>
      <c r="E224">
        <v>0.76666666666666672</v>
      </c>
      <c r="F224">
        <v>16.12</v>
      </c>
      <c r="G224" t="b">
        <v>0</v>
      </c>
      <c r="H224" s="2">
        <v>45882</v>
      </c>
      <c r="I224">
        <v>12</v>
      </c>
      <c r="J224" t="s">
        <v>26</v>
      </c>
      <c r="K224">
        <v>0</v>
      </c>
      <c r="L224" t="s">
        <v>27</v>
      </c>
      <c r="M224">
        <v>0.76666666666666672</v>
      </c>
      <c r="N224" t="s">
        <v>36</v>
      </c>
      <c r="O224">
        <v>60</v>
      </c>
      <c r="P224" t="s">
        <v>37</v>
      </c>
      <c r="Q224">
        <v>0</v>
      </c>
      <c r="R224">
        <v>0</v>
      </c>
      <c r="S224">
        <v>0</v>
      </c>
      <c r="T224">
        <v>32</v>
      </c>
      <c r="U224">
        <v>16.12</v>
      </c>
      <c r="V224" t="s">
        <v>38</v>
      </c>
      <c r="W224">
        <v>0</v>
      </c>
      <c r="X224" t="s">
        <v>31</v>
      </c>
    </row>
    <row r="225" spans="1:24" x14ac:dyDescent="0.3">
      <c r="A225" t="s">
        <v>277</v>
      </c>
      <c r="B225" t="s">
        <v>25</v>
      </c>
      <c r="C225" s="2">
        <v>45883.591666666667</v>
      </c>
      <c r="D225" s="2">
        <v>45883.62222222222</v>
      </c>
      <c r="E225">
        <v>0.73333333333333328</v>
      </c>
      <c r="F225">
        <v>18.079999999999998</v>
      </c>
      <c r="G225" t="b">
        <v>0</v>
      </c>
      <c r="H225" s="2">
        <v>45883</v>
      </c>
      <c r="I225">
        <v>14</v>
      </c>
      <c r="J225" t="s">
        <v>34</v>
      </c>
      <c r="K225">
        <v>0</v>
      </c>
      <c r="L225" t="s">
        <v>27</v>
      </c>
      <c r="M225">
        <v>0.73333333333333328</v>
      </c>
      <c r="N225" t="s">
        <v>28</v>
      </c>
      <c r="O225">
        <v>70</v>
      </c>
      <c r="P225" t="s">
        <v>29</v>
      </c>
      <c r="Q225">
        <v>0</v>
      </c>
      <c r="R225">
        <v>0</v>
      </c>
      <c r="S225">
        <v>0</v>
      </c>
      <c r="T225">
        <v>28.8</v>
      </c>
      <c r="U225">
        <v>18.079999999999998</v>
      </c>
      <c r="V225" t="s">
        <v>38</v>
      </c>
      <c r="W225">
        <v>0</v>
      </c>
      <c r="X225" t="s">
        <v>31</v>
      </c>
    </row>
    <row r="226" spans="1:24" x14ac:dyDescent="0.3">
      <c r="A226" t="s">
        <v>278</v>
      </c>
      <c r="B226" t="s">
        <v>61</v>
      </c>
      <c r="C226" s="2">
        <v>45884.822222222218</v>
      </c>
      <c r="D226" s="2">
        <v>45884.950694444437</v>
      </c>
      <c r="E226">
        <v>3.083333333333333</v>
      </c>
      <c r="F226">
        <v>51.49</v>
      </c>
      <c r="G226" t="b">
        <v>0</v>
      </c>
      <c r="H226" s="2">
        <v>45884</v>
      </c>
      <c r="I226">
        <v>19</v>
      </c>
      <c r="J226" t="s">
        <v>41</v>
      </c>
      <c r="K226">
        <v>0</v>
      </c>
      <c r="L226" t="s">
        <v>42</v>
      </c>
      <c r="M226">
        <v>3.083333333333333</v>
      </c>
      <c r="N226" t="s">
        <v>62</v>
      </c>
      <c r="O226">
        <v>80</v>
      </c>
      <c r="P226" t="s">
        <v>37</v>
      </c>
      <c r="Q226">
        <v>1</v>
      </c>
      <c r="R226">
        <v>0</v>
      </c>
      <c r="S226">
        <v>1</v>
      </c>
      <c r="T226">
        <v>30.9</v>
      </c>
      <c r="U226">
        <v>51.49</v>
      </c>
      <c r="V226" t="s">
        <v>30</v>
      </c>
      <c r="W226">
        <v>0</v>
      </c>
      <c r="X226" t="s">
        <v>59</v>
      </c>
    </row>
    <row r="227" spans="1:24" x14ac:dyDescent="0.3">
      <c r="A227" t="s">
        <v>279</v>
      </c>
      <c r="B227" t="s">
        <v>25</v>
      </c>
      <c r="C227" s="2">
        <v>45885.882638888892</v>
      </c>
      <c r="D227" s="2">
        <v>45885.905555555553</v>
      </c>
      <c r="E227">
        <v>0.55000000000000004</v>
      </c>
      <c r="F227">
        <v>14.93</v>
      </c>
      <c r="G227" t="b">
        <v>0</v>
      </c>
      <c r="H227" s="2">
        <v>45885</v>
      </c>
      <c r="I227">
        <v>21</v>
      </c>
      <c r="J227" t="s">
        <v>48</v>
      </c>
      <c r="K227">
        <v>1</v>
      </c>
      <c r="L227" t="s">
        <v>66</v>
      </c>
      <c r="M227">
        <v>0.55000000000000004</v>
      </c>
      <c r="N227" t="s">
        <v>28</v>
      </c>
      <c r="O227">
        <v>70</v>
      </c>
      <c r="P227" t="s">
        <v>29</v>
      </c>
      <c r="Q227">
        <v>1</v>
      </c>
      <c r="R227">
        <v>0</v>
      </c>
      <c r="S227">
        <v>0</v>
      </c>
      <c r="T227">
        <v>29.2</v>
      </c>
      <c r="U227">
        <v>14.93</v>
      </c>
      <c r="V227" t="s">
        <v>45</v>
      </c>
      <c r="W227">
        <v>0</v>
      </c>
      <c r="X227" t="s">
        <v>31</v>
      </c>
    </row>
    <row r="228" spans="1:24" x14ac:dyDescent="0.3">
      <c r="A228" t="s">
        <v>280</v>
      </c>
      <c r="B228" t="s">
        <v>40</v>
      </c>
      <c r="C228" s="2">
        <v>45886.828472222223</v>
      </c>
      <c r="D228" s="2">
        <v>45886.914583333331</v>
      </c>
      <c r="E228">
        <v>2.0666666666666669</v>
      </c>
      <c r="F228">
        <v>42.02</v>
      </c>
      <c r="G228" t="b">
        <v>0</v>
      </c>
      <c r="H228" s="2">
        <v>45886</v>
      </c>
      <c r="I228">
        <v>19</v>
      </c>
      <c r="J228" t="s">
        <v>52</v>
      </c>
      <c r="K228">
        <v>1</v>
      </c>
      <c r="L228" t="s">
        <v>42</v>
      </c>
      <c r="M228">
        <v>2.0666666666666669</v>
      </c>
      <c r="N228" t="s">
        <v>43</v>
      </c>
      <c r="O228">
        <v>100</v>
      </c>
      <c r="P228" t="s">
        <v>44</v>
      </c>
      <c r="Q228">
        <v>1</v>
      </c>
      <c r="R228">
        <v>0</v>
      </c>
      <c r="S228">
        <v>0</v>
      </c>
      <c r="T228">
        <v>26.1</v>
      </c>
      <c r="U228">
        <v>42.02</v>
      </c>
      <c r="V228" t="s">
        <v>38</v>
      </c>
      <c r="W228">
        <v>0</v>
      </c>
      <c r="X228" t="s">
        <v>31</v>
      </c>
    </row>
    <row r="229" spans="1:24" x14ac:dyDescent="0.3">
      <c r="A229" t="s">
        <v>281</v>
      </c>
      <c r="B229" t="s">
        <v>61</v>
      </c>
      <c r="C229" s="2">
        <v>45887.355555555558</v>
      </c>
      <c r="D229" s="2">
        <v>45887.486111111109</v>
      </c>
      <c r="E229">
        <v>3.1333333333333329</v>
      </c>
      <c r="F229">
        <v>51.8</v>
      </c>
      <c r="G229" t="b">
        <v>0</v>
      </c>
      <c r="H229" s="2">
        <v>45887</v>
      </c>
      <c r="I229">
        <v>8</v>
      </c>
      <c r="J229" t="s">
        <v>54</v>
      </c>
      <c r="K229">
        <v>0</v>
      </c>
      <c r="L229" t="s">
        <v>35</v>
      </c>
      <c r="M229">
        <v>3.1333333333333329</v>
      </c>
      <c r="N229" t="s">
        <v>62</v>
      </c>
      <c r="O229">
        <v>80</v>
      </c>
      <c r="P229" t="s">
        <v>37</v>
      </c>
      <c r="Q229">
        <v>0</v>
      </c>
      <c r="R229">
        <v>0</v>
      </c>
      <c r="S229">
        <v>0</v>
      </c>
      <c r="T229">
        <v>27.9</v>
      </c>
      <c r="U229">
        <v>51.8</v>
      </c>
      <c r="V229" t="s">
        <v>38</v>
      </c>
      <c r="W229">
        <v>0</v>
      </c>
      <c r="X229" t="s">
        <v>31</v>
      </c>
    </row>
    <row r="230" spans="1:24" x14ac:dyDescent="0.3">
      <c r="A230" t="s">
        <v>282</v>
      </c>
      <c r="B230" t="s">
        <v>47</v>
      </c>
      <c r="C230" s="2">
        <v>45888.709722222222</v>
      </c>
      <c r="D230" s="2">
        <v>45888.845138888893</v>
      </c>
      <c r="E230">
        <v>3.25</v>
      </c>
      <c r="F230">
        <v>56.19</v>
      </c>
      <c r="G230" t="b">
        <v>0</v>
      </c>
      <c r="H230" s="2">
        <v>45888</v>
      </c>
      <c r="I230">
        <v>17</v>
      </c>
      <c r="J230" t="s">
        <v>56</v>
      </c>
      <c r="K230">
        <v>0</v>
      </c>
      <c r="L230" t="s">
        <v>42</v>
      </c>
      <c r="M230">
        <v>3.25</v>
      </c>
      <c r="N230" t="s">
        <v>49</v>
      </c>
      <c r="O230">
        <v>50</v>
      </c>
      <c r="P230" t="s">
        <v>50</v>
      </c>
      <c r="Q230">
        <v>0</v>
      </c>
      <c r="R230">
        <v>0</v>
      </c>
      <c r="S230">
        <v>0</v>
      </c>
      <c r="T230">
        <v>30.7</v>
      </c>
      <c r="U230">
        <v>56.19</v>
      </c>
      <c r="V230" t="s">
        <v>45</v>
      </c>
      <c r="W230">
        <v>0</v>
      </c>
      <c r="X230" t="s">
        <v>31</v>
      </c>
    </row>
    <row r="231" spans="1:24" x14ac:dyDescent="0.3">
      <c r="A231" t="s">
        <v>283</v>
      </c>
      <c r="B231" t="s">
        <v>25</v>
      </c>
      <c r="C231" s="2">
        <v>45889.481944444437</v>
      </c>
      <c r="D231" s="2">
        <v>45889.661111111112</v>
      </c>
      <c r="E231">
        <v>4.3</v>
      </c>
      <c r="F231">
        <v>72.92</v>
      </c>
      <c r="G231" t="b">
        <v>0</v>
      </c>
      <c r="H231" s="2">
        <v>45889</v>
      </c>
      <c r="I231">
        <v>11</v>
      </c>
      <c r="J231" t="s">
        <v>26</v>
      </c>
      <c r="K231">
        <v>0</v>
      </c>
      <c r="L231" t="s">
        <v>35</v>
      </c>
      <c r="M231">
        <v>4.3</v>
      </c>
      <c r="N231" t="s">
        <v>28</v>
      </c>
      <c r="O231">
        <v>70</v>
      </c>
      <c r="P231" t="s">
        <v>29</v>
      </c>
      <c r="Q231">
        <v>0</v>
      </c>
      <c r="R231">
        <v>0</v>
      </c>
      <c r="S231">
        <v>1</v>
      </c>
      <c r="T231">
        <v>23.6</v>
      </c>
      <c r="U231">
        <v>72.92</v>
      </c>
      <c r="V231" t="s">
        <v>38</v>
      </c>
      <c r="W231">
        <v>0</v>
      </c>
      <c r="X231" t="s">
        <v>59</v>
      </c>
    </row>
    <row r="232" spans="1:24" x14ac:dyDescent="0.3">
      <c r="A232" t="s">
        <v>284</v>
      </c>
      <c r="B232" t="s">
        <v>33</v>
      </c>
      <c r="C232" s="2">
        <v>45890.263888888891</v>
      </c>
      <c r="D232" s="2">
        <v>45890.400694444441</v>
      </c>
      <c r="E232">
        <v>3.2833333333333332</v>
      </c>
      <c r="F232">
        <v>60.65</v>
      </c>
      <c r="G232" t="b">
        <v>0</v>
      </c>
      <c r="H232" s="2">
        <v>45890</v>
      </c>
      <c r="I232">
        <v>6</v>
      </c>
      <c r="J232" t="s">
        <v>34</v>
      </c>
      <c r="K232">
        <v>0</v>
      </c>
      <c r="L232" t="s">
        <v>35</v>
      </c>
      <c r="M232">
        <v>3.2833333333333332</v>
      </c>
      <c r="N232" t="s">
        <v>36</v>
      </c>
      <c r="O232">
        <v>60</v>
      </c>
      <c r="P232" t="s">
        <v>37</v>
      </c>
      <c r="Q232">
        <v>0</v>
      </c>
      <c r="R232">
        <v>0</v>
      </c>
      <c r="S232">
        <v>0</v>
      </c>
      <c r="T232">
        <v>38.1</v>
      </c>
      <c r="U232">
        <v>60.65</v>
      </c>
      <c r="V232" t="s">
        <v>38</v>
      </c>
      <c r="W232">
        <v>0</v>
      </c>
      <c r="X232" t="s">
        <v>31</v>
      </c>
    </row>
    <row r="233" spans="1:24" x14ac:dyDescent="0.3">
      <c r="A233" t="s">
        <v>285</v>
      </c>
      <c r="B233" t="s">
        <v>61</v>
      </c>
      <c r="C233" s="2">
        <v>45891.519444444442</v>
      </c>
      <c r="D233" s="2">
        <v>45891.586805555547</v>
      </c>
      <c r="E233">
        <v>1.6166666666666669</v>
      </c>
      <c r="F233">
        <v>29.84</v>
      </c>
      <c r="G233" t="b">
        <v>0</v>
      </c>
      <c r="H233" s="2">
        <v>45891</v>
      </c>
      <c r="I233">
        <v>12</v>
      </c>
      <c r="J233" t="s">
        <v>41</v>
      </c>
      <c r="K233">
        <v>0</v>
      </c>
      <c r="L233" t="s">
        <v>27</v>
      </c>
      <c r="M233">
        <v>1.6166666666666669</v>
      </c>
      <c r="N233" t="s">
        <v>62</v>
      </c>
      <c r="O233">
        <v>80</v>
      </c>
      <c r="P233" t="s">
        <v>37</v>
      </c>
      <c r="Q233">
        <v>0</v>
      </c>
      <c r="R233">
        <v>0</v>
      </c>
      <c r="S233">
        <v>0</v>
      </c>
      <c r="T233">
        <v>32.299999999999997</v>
      </c>
      <c r="U233">
        <v>29.84</v>
      </c>
      <c r="V233" t="s">
        <v>38</v>
      </c>
      <c r="W233">
        <v>0</v>
      </c>
      <c r="X233" t="s">
        <v>31</v>
      </c>
    </row>
    <row r="234" spans="1:24" x14ac:dyDescent="0.3">
      <c r="A234" t="s">
        <v>286</v>
      </c>
      <c r="B234" t="s">
        <v>61</v>
      </c>
      <c r="C234" s="2">
        <v>45892.40902777778</v>
      </c>
      <c r="D234" s="2">
        <v>45892.518055555563</v>
      </c>
      <c r="E234">
        <v>2.6166666666666671</v>
      </c>
      <c r="F234">
        <v>38.67</v>
      </c>
      <c r="G234" t="b">
        <v>0</v>
      </c>
      <c r="H234" s="2">
        <v>45892</v>
      </c>
      <c r="I234">
        <v>9</v>
      </c>
      <c r="J234" t="s">
        <v>48</v>
      </c>
      <c r="K234">
        <v>1</v>
      </c>
      <c r="L234" t="s">
        <v>35</v>
      </c>
      <c r="M234">
        <v>2.6166666666666671</v>
      </c>
      <c r="N234" t="s">
        <v>62</v>
      </c>
      <c r="O234">
        <v>80</v>
      </c>
      <c r="P234" t="s">
        <v>37</v>
      </c>
      <c r="Q234">
        <v>1</v>
      </c>
      <c r="R234">
        <v>0</v>
      </c>
      <c r="S234">
        <v>0</v>
      </c>
      <c r="T234">
        <v>34.299999999999997</v>
      </c>
      <c r="U234">
        <v>38.67</v>
      </c>
      <c r="V234" t="s">
        <v>30</v>
      </c>
      <c r="W234">
        <v>0</v>
      </c>
      <c r="X234" t="s">
        <v>31</v>
      </c>
    </row>
    <row r="235" spans="1:24" x14ac:dyDescent="0.3">
      <c r="A235" t="s">
        <v>287</v>
      </c>
      <c r="B235" t="s">
        <v>40</v>
      </c>
      <c r="C235" s="2">
        <v>45893.45208333333</v>
      </c>
      <c r="D235" s="2">
        <v>45893.545138888891</v>
      </c>
      <c r="E235">
        <v>2.2333333333333329</v>
      </c>
      <c r="F235">
        <v>45.08</v>
      </c>
      <c r="G235" t="b">
        <v>0</v>
      </c>
      <c r="H235" s="2">
        <v>45893</v>
      </c>
      <c r="I235">
        <v>10</v>
      </c>
      <c r="J235" t="s">
        <v>52</v>
      </c>
      <c r="K235">
        <v>1</v>
      </c>
      <c r="L235" t="s">
        <v>35</v>
      </c>
      <c r="M235">
        <v>2.2333333333333329</v>
      </c>
      <c r="N235" t="s">
        <v>43</v>
      </c>
      <c r="O235">
        <v>100</v>
      </c>
      <c r="P235" t="s">
        <v>44</v>
      </c>
      <c r="Q235">
        <v>1</v>
      </c>
      <c r="R235">
        <v>0</v>
      </c>
      <c r="S235">
        <v>0</v>
      </c>
      <c r="T235">
        <v>20.8</v>
      </c>
      <c r="U235">
        <v>45.08</v>
      </c>
      <c r="V235" t="s">
        <v>38</v>
      </c>
      <c r="W235">
        <v>0</v>
      </c>
      <c r="X235" t="s">
        <v>31</v>
      </c>
    </row>
    <row r="236" spans="1:24" x14ac:dyDescent="0.3">
      <c r="A236" t="s">
        <v>288</v>
      </c>
      <c r="B236" t="s">
        <v>47</v>
      </c>
      <c r="C236" s="2">
        <v>45894.767361111109</v>
      </c>
      <c r="D236" s="2">
        <v>45894.857638888891</v>
      </c>
      <c r="E236">
        <v>2.166666666666667</v>
      </c>
      <c r="F236">
        <v>41.94</v>
      </c>
      <c r="G236" t="b">
        <v>0</v>
      </c>
      <c r="H236" s="2">
        <v>45894</v>
      </c>
      <c r="I236">
        <v>18</v>
      </c>
      <c r="J236" t="s">
        <v>54</v>
      </c>
      <c r="K236">
        <v>0</v>
      </c>
      <c r="L236" t="s">
        <v>42</v>
      </c>
      <c r="M236">
        <v>2.166666666666667</v>
      </c>
      <c r="N236" t="s">
        <v>49</v>
      </c>
      <c r="O236">
        <v>50</v>
      </c>
      <c r="P236" t="s">
        <v>50</v>
      </c>
      <c r="Q236">
        <v>0</v>
      </c>
      <c r="R236">
        <v>0</v>
      </c>
      <c r="S236">
        <v>0</v>
      </c>
      <c r="T236">
        <v>28.9</v>
      </c>
      <c r="U236">
        <v>41.94</v>
      </c>
      <c r="V236" t="s">
        <v>38</v>
      </c>
      <c r="W236">
        <v>0</v>
      </c>
      <c r="X236" t="s">
        <v>31</v>
      </c>
    </row>
    <row r="237" spans="1:24" x14ac:dyDescent="0.3">
      <c r="A237" t="s">
        <v>289</v>
      </c>
      <c r="B237" t="s">
        <v>25</v>
      </c>
      <c r="C237" s="2">
        <v>45895.839583333327</v>
      </c>
      <c r="D237" s="2">
        <v>45895.92083333333</v>
      </c>
      <c r="E237">
        <v>1.95</v>
      </c>
      <c r="F237">
        <v>21.91</v>
      </c>
      <c r="G237" t="b">
        <v>0</v>
      </c>
      <c r="H237" s="2">
        <v>45895</v>
      </c>
      <c r="I237">
        <v>20</v>
      </c>
      <c r="J237" t="s">
        <v>56</v>
      </c>
      <c r="K237">
        <v>0</v>
      </c>
      <c r="L237" t="s">
        <v>42</v>
      </c>
      <c r="M237">
        <v>1.95</v>
      </c>
      <c r="N237" t="s">
        <v>28</v>
      </c>
      <c r="O237">
        <v>70</v>
      </c>
      <c r="P237" t="s">
        <v>29</v>
      </c>
      <c r="Q237">
        <v>0</v>
      </c>
      <c r="R237">
        <v>0</v>
      </c>
      <c r="S237">
        <v>0</v>
      </c>
      <c r="T237">
        <v>32.4</v>
      </c>
      <c r="U237">
        <v>21.91</v>
      </c>
      <c r="V237" t="s">
        <v>45</v>
      </c>
      <c r="W237">
        <v>0</v>
      </c>
      <c r="X237" t="s">
        <v>31</v>
      </c>
    </row>
    <row r="238" spans="1:24" x14ac:dyDescent="0.3">
      <c r="A238" t="s">
        <v>290</v>
      </c>
      <c r="B238" t="s">
        <v>61</v>
      </c>
      <c r="C238" s="2">
        <v>45896.286805555559</v>
      </c>
      <c r="D238" s="2">
        <v>45896.436111111107</v>
      </c>
      <c r="E238">
        <v>3.583333333333333</v>
      </c>
      <c r="F238">
        <v>53.3</v>
      </c>
      <c r="G238" t="b">
        <v>0</v>
      </c>
      <c r="H238" s="2">
        <v>45896</v>
      </c>
      <c r="I238">
        <v>6</v>
      </c>
      <c r="J238" t="s">
        <v>26</v>
      </c>
      <c r="K238">
        <v>0</v>
      </c>
      <c r="L238" t="s">
        <v>35</v>
      </c>
      <c r="M238">
        <v>3.583333333333333</v>
      </c>
      <c r="N238" t="s">
        <v>62</v>
      </c>
      <c r="O238">
        <v>80</v>
      </c>
      <c r="P238" t="s">
        <v>37</v>
      </c>
      <c r="Q238">
        <v>0</v>
      </c>
      <c r="R238">
        <v>0</v>
      </c>
      <c r="S238">
        <v>0</v>
      </c>
      <c r="T238">
        <v>37</v>
      </c>
      <c r="U238">
        <v>53.3</v>
      </c>
      <c r="V238" t="s">
        <v>45</v>
      </c>
      <c r="W238">
        <v>0</v>
      </c>
      <c r="X238" t="s">
        <v>31</v>
      </c>
    </row>
    <row r="239" spans="1:24" x14ac:dyDescent="0.3">
      <c r="A239" t="s">
        <v>291</v>
      </c>
      <c r="B239" t="s">
        <v>40</v>
      </c>
      <c r="C239" s="2">
        <v>45897.845138888893</v>
      </c>
      <c r="D239" s="2">
        <v>45897.922222222223</v>
      </c>
      <c r="E239">
        <v>1.85</v>
      </c>
      <c r="F239">
        <v>21.5</v>
      </c>
      <c r="G239" t="b">
        <v>0</v>
      </c>
      <c r="H239" s="2">
        <v>45897</v>
      </c>
      <c r="I239">
        <v>20</v>
      </c>
      <c r="J239" t="s">
        <v>34</v>
      </c>
      <c r="K239">
        <v>0</v>
      </c>
      <c r="L239" t="s">
        <v>42</v>
      </c>
      <c r="M239">
        <v>1.85</v>
      </c>
      <c r="N239" t="s">
        <v>43</v>
      </c>
      <c r="O239">
        <v>100</v>
      </c>
      <c r="P239" t="s">
        <v>44</v>
      </c>
      <c r="Q239">
        <v>0</v>
      </c>
      <c r="R239">
        <v>0</v>
      </c>
      <c r="S239">
        <v>0</v>
      </c>
      <c r="T239">
        <v>29.5</v>
      </c>
      <c r="U239">
        <v>21.5</v>
      </c>
      <c r="V239" t="s">
        <v>38</v>
      </c>
      <c r="W239">
        <v>0</v>
      </c>
      <c r="X239" t="s">
        <v>31</v>
      </c>
    </row>
    <row r="240" spans="1:24" x14ac:dyDescent="0.3">
      <c r="A240" t="s">
        <v>292</v>
      </c>
      <c r="B240" t="s">
        <v>47</v>
      </c>
      <c r="C240" s="2">
        <v>45898.810416666667</v>
      </c>
      <c r="D240" s="2">
        <v>45898.878472222219</v>
      </c>
      <c r="E240">
        <v>1.6333333333333331</v>
      </c>
      <c r="F240">
        <v>25.41</v>
      </c>
      <c r="G240" t="b">
        <v>0</v>
      </c>
      <c r="H240" s="2">
        <v>45898</v>
      </c>
      <c r="I240">
        <v>19</v>
      </c>
      <c r="J240" t="s">
        <v>41</v>
      </c>
      <c r="K240">
        <v>0</v>
      </c>
      <c r="L240" t="s">
        <v>42</v>
      </c>
      <c r="M240">
        <v>1.6333333333333331</v>
      </c>
      <c r="N240" t="s">
        <v>49</v>
      </c>
      <c r="O240">
        <v>50</v>
      </c>
      <c r="P240" t="s">
        <v>50</v>
      </c>
      <c r="Q240">
        <v>0</v>
      </c>
      <c r="R240">
        <v>0</v>
      </c>
      <c r="S240">
        <v>0</v>
      </c>
      <c r="T240">
        <v>30.3</v>
      </c>
      <c r="U240">
        <v>25.41</v>
      </c>
      <c r="V240" t="s">
        <v>30</v>
      </c>
      <c r="W240">
        <v>0</v>
      </c>
      <c r="X240" t="s">
        <v>31</v>
      </c>
    </row>
    <row r="241" spans="1:24" x14ac:dyDescent="0.3">
      <c r="A241" t="s">
        <v>293</v>
      </c>
      <c r="B241" t="s">
        <v>33</v>
      </c>
      <c r="C241" s="2">
        <v>45899.489583333343</v>
      </c>
      <c r="D241" s="2">
        <v>45899.520138888889</v>
      </c>
      <c r="E241">
        <v>0.73333333333333328</v>
      </c>
      <c r="F241">
        <v>13.07</v>
      </c>
      <c r="G241" t="b">
        <v>0</v>
      </c>
      <c r="H241" s="2">
        <v>45899</v>
      </c>
      <c r="I241">
        <v>11</v>
      </c>
      <c r="J241" t="s">
        <v>48</v>
      </c>
      <c r="K241">
        <v>1</v>
      </c>
      <c r="L241" t="s">
        <v>35</v>
      </c>
      <c r="M241">
        <v>0.73333333333333328</v>
      </c>
      <c r="N241" t="s">
        <v>36</v>
      </c>
      <c r="O241">
        <v>60</v>
      </c>
      <c r="P241" t="s">
        <v>37</v>
      </c>
      <c r="Q241">
        <v>1</v>
      </c>
      <c r="R241">
        <v>0</v>
      </c>
      <c r="S241">
        <v>0</v>
      </c>
      <c r="T241">
        <v>31.8</v>
      </c>
      <c r="U241">
        <v>13.07</v>
      </c>
      <c r="V241" t="s">
        <v>45</v>
      </c>
      <c r="W241">
        <v>0</v>
      </c>
      <c r="X241" t="s">
        <v>31</v>
      </c>
    </row>
    <row r="242" spans="1:24" x14ac:dyDescent="0.3">
      <c r="A242" t="s">
        <v>294</v>
      </c>
      <c r="B242" t="s">
        <v>25</v>
      </c>
      <c r="C242" s="2">
        <v>45900.872916666667</v>
      </c>
      <c r="D242" s="2">
        <v>45901.036111111112</v>
      </c>
      <c r="E242">
        <v>3.916666666666667</v>
      </c>
      <c r="F242">
        <v>61.16</v>
      </c>
      <c r="G242" t="b">
        <v>0</v>
      </c>
      <c r="H242" s="2">
        <v>45900</v>
      </c>
      <c r="I242">
        <v>20</v>
      </c>
      <c r="J242" t="s">
        <v>52</v>
      </c>
      <c r="K242">
        <v>1</v>
      </c>
      <c r="L242" t="s">
        <v>42</v>
      </c>
      <c r="M242">
        <v>3.916666666666667</v>
      </c>
      <c r="N242" t="s">
        <v>28</v>
      </c>
      <c r="O242">
        <v>70</v>
      </c>
      <c r="P242" t="s">
        <v>29</v>
      </c>
      <c r="Q242">
        <v>1</v>
      </c>
      <c r="R242">
        <v>0</v>
      </c>
      <c r="S242">
        <v>0</v>
      </c>
      <c r="T242">
        <v>32.299999999999997</v>
      </c>
      <c r="U242">
        <v>61.16</v>
      </c>
      <c r="V242" t="s">
        <v>45</v>
      </c>
      <c r="W242">
        <v>0</v>
      </c>
      <c r="X242" t="s">
        <v>31</v>
      </c>
    </row>
    <row r="243" spans="1:24" x14ac:dyDescent="0.3">
      <c r="A243" t="s">
        <v>295</v>
      </c>
      <c r="B243" t="s">
        <v>47</v>
      </c>
      <c r="C243" s="2">
        <v>45901.476388888892</v>
      </c>
      <c r="D243" s="2">
        <v>45901.510416666657</v>
      </c>
      <c r="E243">
        <v>0.81666666666666665</v>
      </c>
      <c r="F243">
        <v>12.81</v>
      </c>
      <c r="G243" t="b">
        <v>0</v>
      </c>
      <c r="H243" s="2">
        <v>45901</v>
      </c>
      <c r="I243">
        <v>11</v>
      </c>
      <c r="J243" t="s">
        <v>54</v>
      </c>
      <c r="K243">
        <v>0</v>
      </c>
      <c r="L243" t="s">
        <v>35</v>
      </c>
      <c r="M243">
        <v>0.81666666666666665</v>
      </c>
      <c r="N243" t="s">
        <v>49</v>
      </c>
      <c r="O243">
        <v>50</v>
      </c>
      <c r="P243" t="s">
        <v>50</v>
      </c>
      <c r="Q243">
        <v>0</v>
      </c>
      <c r="R243">
        <v>0</v>
      </c>
      <c r="S243">
        <v>0</v>
      </c>
      <c r="T243">
        <v>25.3</v>
      </c>
      <c r="U243">
        <v>12.81</v>
      </c>
      <c r="V243" t="s">
        <v>38</v>
      </c>
      <c r="W243">
        <v>0</v>
      </c>
      <c r="X243" t="s">
        <v>31</v>
      </c>
    </row>
    <row r="244" spans="1:24" x14ac:dyDescent="0.3">
      <c r="A244" t="s">
        <v>296</v>
      </c>
      <c r="B244" t="s">
        <v>47</v>
      </c>
      <c r="C244" s="2">
        <v>45902.556944444441</v>
      </c>
      <c r="D244" s="2">
        <v>45902.712500000001</v>
      </c>
      <c r="E244">
        <v>3.7333333333333329</v>
      </c>
      <c r="F244">
        <v>55.1</v>
      </c>
      <c r="G244" t="b">
        <v>0</v>
      </c>
      <c r="H244" s="2">
        <v>45902</v>
      </c>
      <c r="I244">
        <v>13</v>
      </c>
      <c r="J244" t="s">
        <v>56</v>
      </c>
      <c r="K244">
        <v>0</v>
      </c>
      <c r="L244" t="s">
        <v>27</v>
      </c>
      <c r="M244">
        <v>3.7333333333333329</v>
      </c>
      <c r="N244" t="s">
        <v>49</v>
      </c>
      <c r="O244">
        <v>50</v>
      </c>
      <c r="P244" t="s">
        <v>50</v>
      </c>
      <c r="Q244">
        <v>0</v>
      </c>
      <c r="R244">
        <v>0</v>
      </c>
      <c r="S244">
        <v>0</v>
      </c>
      <c r="T244">
        <v>28.1</v>
      </c>
      <c r="U244">
        <v>55.1</v>
      </c>
      <c r="V244" t="s">
        <v>30</v>
      </c>
      <c r="W244">
        <v>0</v>
      </c>
      <c r="X244" t="s">
        <v>31</v>
      </c>
    </row>
    <row r="245" spans="1:24" x14ac:dyDescent="0.3">
      <c r="A245" t="s">
        <v>297</v>
      </c>
      <c r="B245" t="s">
        <v>47</v>
      </c>
      <c r="C245" s="2">
        <v>45903.51458333333</v>
      </c>
      <c r="D245" s="2">
        <v>45903.573611111111</v>
      </c>
      <c r="E245">
        <v>1.416666666666667</v>
      </c>
      <c r="F245">
        <v>26.12</v>
      </c>
      <c r="G245" t="b">
        <v>0</v>
      </c>
      <c r="H245" s="2">
        <v>45903</v>
      </c>
      <c r="I245">
        <v>12</v>
      </c>
      <c r="J245" t="s">
        <v>26</v>
      </c>
      <c r="K245">
        <v>0</v>
      </c>
      <c r="L245" t="s">
        <v>27</v>
      </c>
      <c r="M245">
        <v>1.416666666666667</v>
      </c>
      <c r="N245" t="s">
        <v>49</v>
      </c>
      <c r="O245">
        <v>50</v>
      </c>
      <c r="P245" t="s">
        <v>50</v>
      </c>
      <c r="Q245">
        <v>0</v>
      </c>
      <c r="R245">
        <v>0</v>
      </c>
      <c r="S245">
        <v>0</v>
      </c>
      <c r="T245">
        <v>33.700000000000003</v>
      </c>
      <c r="U245">
        <v>26.12</v>
      </c>
      <c r="V245" t="s">
        <v>30</v>
      </c>
      <c r="W245">
        <v>0</v>
      </c>
      <c r="X245" t="s">
        <v>31</v>
      </c>
    </row>
    <row r="246" spans="1:24" x14ac:dyDescent="0.3">
      <c r="A246" t="s">
        <v>298</v>
      </c>
      <c r="B246" t="s">
        <v>33</v>
      </c>
      <c r="C246" s="2">
        <v>45904.500694444447</v>
      </c>
      <c r="D246" s="2">
        <v>45904.720833333333</v>
      </c>
      <c r="E246">
        <v>5.2833333333333332</v>
      </c>
      <c r="F246">
        <v>85.59</v>
      </c>
      <c r="G246" t="b">
        <v>0</v>
      </c>
      <c r="H246" s="2">
        <v>45904</v>
      </c>
      <c r="I246">
        <v>12</v>
      </c>
      <c r="J246" t="s">
        <v>34</v>
      </c>
      <c r="K246">
        <v>0</v>
      </c>
      <c r="L246" t="s">
        <v>27</v>
      </c>
      <c r="M246">
        <v>5.2833333333333332</v>
      </c>
      <c r="N246" t="s">
        <v>36</v>
      </c>
      <c r="O246">
        <v>60</v>
      </c>
      <c r="P246" t="s">
        <v>37</v>
      </c>
      <c r="Q246">
        <v>0</v>
      </c>
      <c r="R246">
        <v>0</v>
      </c>
      <c r="S246">
        <v>0</v>
      </c>
      <c r="T246">
        <v>34</v>
      </c>
      <c r="U246">
        <v>85.59</v>
      </c>
      <c r="V246" t="s">
        <v>38</v>
      </c>
      <c r="W246">
        <v>0</v>
      </c>
      <c r="X246" t="s">
        <v>31</v>
      </c>
    </row>
    <row r="247" spans="1:24" x14ac:dyDescent="0.3">
      <c r="A247" t="s">
        <v>299</v>
      </c>
      <c r="B247" t="s">
        <v>47</v>
      </c>
      <c r="C247" s="2">
        <v>45905.90625</v>
      </c>
      <c r="D247" s="2">
        <v>45906.212500000001</v>
      </c>
      <c r="E247">
        <v>7.35</v>
      </c>
      <c r="F247">
        <v>116.76</v>
      </c>
      <c r="G247" t="b">
        <v>0</v>
      </c>
      <c r="H247" s="2">
        <v>45905</v>
      </c>
      <c r="I247">
        <v>21</v>
      </c>
      <c r="J247" t="s">
        <v>41</v>
      </c>
      <c r="K247">
        <v>0</v>
      </c>
      <c r="L247" t="s">
        <v>66</v>
      </c>
      <c r="M247">
        <v>7.35</v>
      </c>
      <c r="N247" t="s">
        <v>49</v>
      </c>
      <c r="O247">
        <v>50</v>
      </c>
      <c r="P247" t="s">
        <v>50</v>
      </c>
      <c r="Q247">
        <v>0</v>
      </c>
      <c r="R247">
        <v>1</v>
      </c>
      <c r="S247">
        <v>0</v>
      </c>
      <c r="T247">
        <v>30.5</v>
      </c>
      <c r="U247">
        <v>116.76</v>
      </c>
      <c r="V247" t="s">
        <v>38</v>
      </c>
      <c r="W247">
        <v>1</v>
      </c>
      <c r="X247" t="s">
        <v>31</v>
      </c>
    </row>
    <row r="248" spans="1:24" x14ac:dyDescent="0.3">
      <c r="A248" t="s">
        <v>300</v>
      </c>
      <c r="B248" t="s">
        <v>25</v>
      </c>
      <c r="C248" s="2">
        <v>45906.405555555553</v>
      </c>
      <c r="D248" s="2">
        <v>45906.438888888893</v>
      </c>
      <c r="E248">
        <v>0.8</v>
      </c>
      <c r="F248">
        <v>12</v>
      </c>
      <c r="G248" t="b">
        <v>0</v>
      </c>
      <c r="H248" s="2">
        <v>45906</v>
      </c>
      <c r="I248">
        <v>9</v>
      </c>
      <c r="J248" t="s">
        <v>48</v>
      </c>
      <c r="K248">
        <v>1</v>
      </c>
      <c r="L248" t="s">
        <v>35</v>
      </c>
      <c r="M248">
        <v>0.8</v>
      </c>
      <c r="N248" t="s">
        <v>28</v>
      </c>
      <c r="O248">
        <v>70</v>
      </c>
      <c r="P248" t="s">
        <v>29</v>
      </c>
      <c r="Q248">
        <v>1</v>
      </c>
      <c r="R248">
        <v>0</v>
      </c>
      <c r="S248">
        <v>0</v>
      </c>
      <c r="T248">
        <v>30.2</v>
      </c>
      <c r="U248">
        <v>12</v>
      </c>
      <c r="V248" t="s">
        <v>30</v>
      </c>
      <c r="W248">
        <v>0</v>
      </c>
      <c r="X248" t="s">
        <v>31</v>
      </c>
    </row>
    <row r="249" spans="1:24" x14ac:dyDescent="0.3">
      <c r="A249" t="s">
        <v>301</v>
      </c>
      <c r="B249" t="s">
        <v>61</v>
      </c>
      <c r="C249" s="2">
        <v>45907.896527777782</v>
      </c>
      <c r="D249" s="2">
        <v>45908.043055555558</v>
      </c>
      <c r="E249">
        <v>3.5166666666666671</v>
      </c>
      <c r="F249">
        <v>53.86</v>
      </c>
      <c r="G249" t="b">
        <v>0</v>
      </c>
      <c r="H249" s="2">
        <v>45907</v>
      </c>
      <c r="I249">
        <v>21</v>
      </c>
      <c r="J249" t="s">
        <v>52</v>
      </c>
      <c r="K249">
        <v>1</v>
      </c>
      <c r="L249" t="s">
        <v>66</v>
      </c>
      <c r="M249">
        <v>3.5166666666666671</v>
      </c>
      <c r="N249" t="s">
        <v>62</v>
      </c>
      <c r="O249">
        <v>80</v>
      </c>
      <c r="P249" t="s">
        <v>37</v>
      </c>
      <c r="Q249">
        <v>1</v>
      </c>
      <c r="R249">
        <v>0</v>
      </c>
      <c r="S249">
        <v>1</v>
      </c>
      <c r="T249">
        <v>27.2</v>
      </c>
      <c r="U249">
        <v>53.86</v>
      </c>
      <c r="V249" t="s">
        <v>38</v>
      </c>
      <c r="W249">
        <v>0</v>
      </c>
      <c r="X249" t="s">
        <v>59</v>
      </c>
    </row>
    <row r="250" spans="1:24" x14ac:dyDescent="0.3">
      <c r="A250" t="s">
        <v>302</v>
      </c>
      <c r="B250" t="s">
        <v>33</v>
      </c>
      <c r="C250" s="2">
        <v>45908.533333333333</v>
      </c>
      <c r="D250" s="2">
        <v>45908.572222222218</v>
      </c>
      <c r="E250">
        <v>0.93333333333333335</v>
      </c>
      <c r="F250">
        <v>10</v>
      </c>
      <c r="G250" t="b">
        <v>0</v>
      </c>
      <c r="H250" s="2">
        <v>45908</v>
      </c>
      <c r="I250">
        <v>12</v>
      </c>
      <c r="J250" t="s">
        <v>54</v>
      </c>
      <c r="K250">
        <v>0</v>
      </c>
      <c r="L250" t="s">
        <v>27</v>
      </c>
      <c r="M250">
        <v>0.93333333333333335</v>
      </c>
      <c r="N250" t="s">
        <v>36</v>
      </c>
      <c r="O250">
        <v>60</v>
      </c>
      <c r="P250" t="s">
        <v>37</v>
      </c>
      <c r="Q250">
        <v>0</v>
      </c>
      <c r="R250">
        <v>0</v>
      </c>
      <c r="S250">
        <v>0</v>
      </c>
      <c r="T250">
        <v>30.8</v>
      </c>
      <c r="U250">
        <v>10</v>
      </c>
      <c r="V250" t="s">
        <v>30</v>
      </c>
      <c r="W250">
        <v>0</v>
      </c>
      <c r="X250" t="s">
        <v>31</v>
      </c>
    </row>
    <row r="251" spans="1:24" x14ac:dyDescent="0.3">
      <c r="A251" t="s">
        <v>303</v>
      </c>
      <c r="B251" t="s">
        <v>61</v>
      </c>
      <c r="C251" s="2">
        <v>45909.364583333343</v>
      </c>
      <c r="D251" s="2">
        <v>45909.415972222218</v>
      </c>
      <c r="E251">
        <v>1.2333333333333329</v>
      </c>
      <c r="F251">
        <v>24.5</v>
      </c>
      <c r="G251" t="b">
        <v>0</v>
      </c>
      <c r="H251" s="2">
        <v>45909</v>
      </c>
      <c r="I251">
        <v>8</v>
      </c>
      <c r="J251" t="s">
        <v>56</v>
      </c>
      <c r="K251">
        <v>0</v>
      </c>
      <c r="L251" t="s">
        <v>35</v>
      </c>
      <c r="M251">
        <v>1.2333333333333329</v>
      </c>
      <c r="N251" t="s">
        <v>62</v>
      </c>
      <c r="O251">
        <v>80</v>
      </c>
      <c r="P251" t="s">
        <v>37</v>
      </c>
      <c r="Q251">
        <v>0</v>
      </c>
      <c r="R251">
        <v>0</v>
      </c>
      <c r="S251">
        <v>0</v>
      </c>
      <c r="T251">
        <v>26</v>
      </c>
      <c r="U251">
        <v>24.5</v>
      </c>
      <c r="V251" t="s">
        <v>38</v>
      </c>
      <c r="W251">
        <v>0</v>
      </c>
      <c r="X251" t="s">
        <v>31</v>
      </c>
    </row>
    <row r="252" spans="1:24" x14ac:dyDescent="0.3">
      <c r="A252" t="s">
        <v>304</v>
      </c>
      <c r="B252" t="s">
        <v>47</v>
      </c>
      <c r="C252" s="2">
        <v>45910.367361111108</v>
      </c>
      <c r="D252" s="2">
        <v>45910.550694444442</v>
      </c>
      <c r="E252">
        <v>4.4000000000000004</v>
      </c>
      <c r="F252">
        <v>71.38</v>
      </c>
      <c r="G252" t="b">
        <v>0</v>
      </c>
      <c r="H252" s="2">
        <v>45910</v>
      </c>
      <c r="I252">
        <v>8</v>
      </c>
      <c r="J252" t="s">
        <v>26</v>
      </c>
      <c r="K252">
        <v>0</v>
      </c>
      <c r="L252" t="s">
        <v>35</v>
      </c>
      <c r="M252">
        <v>4.4000000000000004</v>
      </c>
      <c r="N252" t="s">
        <v>49</v>
      </c>
      <c r="O252">
        <v>50</v>
      </c>
      <c r="P252" t="s">
        <v>50</v>
      </c>
      <c r="Q252">
        <v>0</v>
      </c>
      <c r="R252">
        <v>0</v>
      </c>
      <c r="S252">
        <v>0</v>
      </c>
      <c r="T252">
        <v>29.7</v>
      </c>
      <c r="U252">
        <v>71.38</v>
      </c>
      <c r="V252" t="s">
        <v>45</v>
      </c>
      <c r="W252">
        <v>0</v>
      </c>
      <c r="X252" t="s">
        <v>31</v>
      </c>
    </row>
    <row r="253" spans="1:24" x14ac:dyDescent="0.3">
      <c r="A253" t="s">
        <v>305</v>
      </c>
      <c r="B253" t="s">
        <v>40</v>
      </c>
      <c r="C253" s="2">
        <v>45911.690972222219</v>
      </c>
      <c r="D253" s="2">
        <v>45911.806944444441</v>
      </c>
      <c r="E253">
        <v>2.7833333333333332</v>
      </c>
      <c r="F253">
        <v>39.08</v>
      </c>
      <c r="G253" t="b">
        <v>0</v>
      </c>
      <c r="H253" s="2">
        <v>45911</v>
      </c>
      <c r="I253">
        <v>16</v>
      </c>
      <c r="J253" t="s">
        <v>34</v>
      </c>
      <c r="K253">
        <v>0</v>
      </c>
      <c r="L253" t="s">
        <v>27</v>
      </c>
      <c r="M253">
        <v>2.7833333333333332</v>
      </c>
      <c r="N253" t="s">
        <v>43</v>
      </c>
      <c r="O253">
        <v>100</v>
      </c>
      <c r="P253" t="s">
        <v>44</v>
      </c>
      <c r="Q253">
        <v>0</v>
      </c>
      <c r="R253">
        <v>0</v>
      </c>
      <c r="S253">
        <v>0</v>
      </c>
      <c r="T253">
        <v>27.8</v>
      </c>
      <c r="U253">
        <v>39.08</v>
      </c>
      <c r="V253" t="s">
        <v>30</v>
      </c>
      <c r="W253">
        <v>0</v>
      </c>
      <c r="X253" t="s">
        <v>31</v>
      </c>
    </row>
    <row r="254" spans="1:24" x14ac:dyDescent="0.3">
      <c r="A254" t="s">
        <v>306</v>
      </c>
      <c r="B254" t="s">
        <v>40</v>
      </c>
      <c r="C254" s="2">
        <v>45912.566666666673</v>
      </c>
      <c r="D254" s="2">
        <v>45912.709027777782</v>
      </c>
      <c r="E254">
        <v>3.416666666666667</v>
      </c>
      <c r="F254">
        <v>52.09</v>
      </c>
      <c r="G254" t="b">
        <v>0</v>
      </c>
      <c r="H254" s="2">
        <v>45912</v>
      </c>
      <c r="I254">
        <v>13</v>
      </c>
      <c r="J254" t="s">
        <v>41</v>
      </c>
      <c r="K254">
        <v>0</v>
      </c>
      <c r="L254" t="s">
        <v>27</v>
      </c>
      <c r="M254">
        <v>3.416666666666667</v>
      </c>
      <c r="N254" t="s">
        <v>43</v>
      </c>
      <c r="O254">
        <v>100</v>
      </c>
      <c r="P254" t="s">
        <v>44</v>
      </c>
      <c r="Q254">
        <v>0</v>
      </c>
      <c r="R254">
        <v>1</v>
      </c>
      <c r="S254">
        <v>1</v>
      </c>
      <c r="T254">
        <v>26.1</v>
      </c>
      <c r="U254">
        <v>52.09</v>
      </c>
      <c r="V254" t="s">
        <v>38</v>
      </c>
      <c r="W254">
        <v>1</v>
      </c>
      <c r="X254" t="s">
        <v>59</v>
      </c>
    </row>
    <row r="255" spans="1:24" x14ac:dyDescent="0.3">
      <c r="A255" t="s">
        <v>307</v>
      </c>
      <c r="B255" t="s">
        <v>40</v>
      </c>
      <c r="C255" s="2">
        <v>45913.923611111109</v>
      </c>
      <c r="D255" s="2">
        <v>45913.934027777781</v>
      </c>
      <c r="E255">
        <v>0.25</v>
      </c>
      <c r="F255">
        <v>10</v>
      </c>
      <c r="G255" t="b">
        <v>0</v>
      </c>
      <c r="H255" s="2">
        <v>45913</v>
      </c>
      <c r="I255">
        <v>22</v>
      </c>
      <c r="J255" t="s">
        <v>48</v>
      </c>
      <c r="K255">
        <v>1</v>
      </c>
      <c r="L255" t="s">
        <v>66</v>
      </c>
      <c r="M255">
        <v>0.25</v>
      </c>
      <c r="N255" t="s">
        <v>43</v>
      </c>
      <c r="O255">
        <v>100</v>
      </c>
      <c r="P255" t="s">
        <v>44</v>
      </c>
      <c r="Q255">
        <v>1</v>
      </c>
      <c r="R255">
        <v>0</v>
      </c>
      <c r="S255">
        <v>0</v>
      </c>
      <c r="T255">
        <v>31.1</v>
      </c>
      <c r="U255">
        <v>10</v>
      </c>
      <c r="V255" t="s">
        <v>38</v>
      </c>
      <c r="W255">
        <v>0</v>
      </c>
      <c r="X255" t="s">
        <v>31</v>
      </c>
    </row>
    <row r="256" spans="1:24" x14ac:dyDescent="0.3">
      <c r="A256" t="s">
        <v>308</v>
      </c>
      <c r="B256" t="s">
        <v>47</v>
      </c>
      <c r="C256" s="2">
        <v>45914.781944444447</v>
      </c>
      <c r="D256" s="2">
        <v>45914.796527777777</v>
      </c>
      <c r="E256">
        <v>0.35</v>
      </c>
      <c r="F256">
        <v>10</v>
      </c>
      <c r="G256" t="b">
        <v>0</v>
      </c>
      <c r="H256" s="2">
        <v>45914</v>
      </c>
      <c r="I256">
        <v>18</v>
      </c>
      <c r="J256" t="s">
        <v>52</v>
      </c>
      <c r="K256">
        <v>1</v>
      </c>
      <c r="L256" t="s">
        <v>42</v>
      </c>
      <c r="M256">
        <v>0.35</v>
      </c>
      <c r="N256" t="s">
        <v>49</v>
      </c>
      <c r="O256">
        <v>50</v>
      </c>
      <c r="P256" t="s">
        <v>50</v>
      </c>
      <c r="Q256">
        <v>1</v>
      </c>
      <c r="R256">
        <v>0</v>
      </c>
      <c r="S256">
        <v>0</v>
      </c>
      <c r="T256">
        <v>26.6</v>
      </c>
      <c r="U256">
        <v>10</v>
      </c>
      <c r="V256" t="s">
        <v>45</v>
      </c>
      <c r="W256">
        <v>0</v>
      </c>
      <c r="X256" t="s">
        <v>31</v>
      </c>
    </row>
    <row r="257" spans="1:24" x14ac:dyDescent="0.3">
      <c r="A257" t="s">
        <v>309</v>
      </c>
      <c r="B257" t="s">
        <v>61</v>
      </c>
      <c r="C257" s="2">
        <v>45915.484027777777</v>
      </c>
      <c r="D257" s="2">
        <v>45915.546527777777</v>
      </c>
      <c r="E257">
        <v>1.5</v>
      </c>
      <c r="F257">
        <v>24.7</v>
      </c>
      <c r="G257" t="b">
        <v>0</v>
      </c>
      <c r="H257" s="2">
        <v>45915</v>
      </c>
      <c r="I257">
        <v>11</v>
      </c>
      <c r="J257" t="s">
        <v>54</v>
      </c>
      <c r="K257">
        <v>0</v>
      </c>
      <c r="L257" t="s">
        <v>35</v>
      </c>
      <c r="M257">
        <v>1.5</v>
      </c>
      <c r="N257" t="s">
        <v>62</v>
      </c>
      <c r="O257">
        <v>80</v>
      </c>
      <c r="P257" t="s">
        <v>37</v>
      </c>
      <c r="Q257">
        <v>0</v>
      </c>
      <c r="R257">
        <v>0</v>
      </c>
      <c r="S257">
        <v>0</v>
      </c>
      <c r="T257">
        <v>29</v>
      </c>
      <c r="U257">
        <v>24.7</v>
      </c>
      <c r="V257" t="s">
        <v>45</v>
      </c>
      <c r="W257">
        <v>0</v>
      </c>
      <c r="X257" t="s">
        <v>31</v>
      </c>
    </row>
    <row r="258" spans="1:24" x14ac:dyDescent="0.3">
      <c r="A258" t="s">
        <v>310</v>
      </c>
      <c r="B258" t="s">
        <v>33</v>
      </c>
      <c r="C258" s="2">
        <v>45916.369444444441</v>
      </c>
      <c r="D258" s="2">
        <v>45916.404861111107</v>
      </c>
      <c r="E258">
        <v>0.85</v>
      </c>
      <c r="F258">
        <v>10.06</v>
      </c>
      <c r="G258" t="b">
        <v>0</v>
      </c>
      <c r="H258" s="2">
        <v>45916</v>
      </c>
      <c r="I258">
        <v>8</v>
      </c>
      <c r="J258" t="s">
        <v>56</v>
      </c>
      <c r="K258">
        <v>0</v>
      </c>
      <c r="L258" t="s">
        <v>35</v>
      </c>
      <c r="M258">
        <v>0.85</v>
      </c>
      <c r="N258" t="s">
        <v>36</v>
      </c>
      <c r="O258">
        <v>60</v>
      </c>
      <c r="P258" t="s">
        <v>37</v>
      </c>
      <c r="Q258">
        <v>0</v>
      </c>
      <c r="R258">
        <v>0</v>
      </c>
      <c r="S258">
        <v>0</v>
      </c>
      <c r="T258">
        <v>27.7</v>
      </c>
      <c r="U258">
        <v>10.06</v>
      </c>
      <c r="V258" t="s">
        <v>30</v>
      </c>
      <c r="W258">
        <v>0</v>
      </c>
      <c r="X258" t="s">
        <v>31</v>
      </c>
    </row>
    <row r="259" spans="1:24" x14ac:dyDescent="0.3">
      <c r="A259" t="s">
        <v>311</v>
      </c>
      <c r="B259" t="s">
        <v>47</v>
      </c>
      <c r="C259" s="2">
        <v>45917.914583333331</v>
      </c>
      <c r="D259" s="2">
        <v>45917.979166666657</v>
      </c>
      <c r="E259">
        <v>1.55</v>
      </c>
      <c r="F259">
        <v>32.14</v>
      </c>
      <c r="G259" t="b">
        <v>0</v>
      </c>
      <c r="H259" s="2">
        <v>45917</v>
      </c>
      <c r="I259">
        <v>21</v>
      </c>
      <c r="J259" t="s">
        <v>26</v>
      </c>
      <c r="K259">
        <v>0</v>
      </c>
      <c r="L259" t="s">
        <v>66</v>
      </c>
      <c r="M259">
        <v>1.55</v>
      </c>
      <c r="N259" t="s">
        <v>49</v>
      </c>
      <c r="O259">
        <v>50</v>
      </c>
      <c r="P259" t="s">
        <v>50</v>
      </c>
      <c r="Q259">
        <v>0</v>
      </c>
      <c r="R259">
        <v>0</v>
      </c>
      <c r="S259">
        <v>1</v>
      </c>
      <c r="T259">
        <v>30.8</v>
      </c>
      <c r="U259">
        <v>32.14</v>
      </c>
      <c r="V259" t="s">
        <v>45</v>
      </c>
      <c r="W259">
        <v>0</v>
      </c>
      <c r="X259" t="s">
        <v>59</v>
      </c>
    </row>
    <row r="260" spans="1:24" x14ac:dyDescent="0.3">
      <c r="A260" t="s">
        <v>312</v>
      </c>
      <c r="B260" t="s">
        <v>33</v>
      </c>
      <c r="C260" s="2">
        <v>45918.772916666669</v>
      </c>
      <c r="D260" s="2">
        <v>45918.943749999999</v>
      </c>
      <c r="E260">
        <v>4.0999999999999996</v>
      </c>
      <c r="F260">
        <v>68.39</v>
      </c>
      <c r="G260" t="b">
        <v>0</v>
      </c>
      <c r="H260" s="2">
        <v>45918</v>
      </c>
      <c r="I260">
        <v>18</v>
      </c>
      <c r="J260" t="s">
        <v>34</v>
      </c>
      <c r="K260">
        <v>0</v>
      </c>
      <c r="L260" t="s">
        <v>42</v>
      </c>
      <c r="M260">
        <v>4.0999999999999996</v>
      </c>
      <c r="N260" t="s">
        <v>36</v>
      </c>
      <c r="O260">
        <v>60</v>
      </c>
      <c r="P260" t="s">
        <v>37</v>
      </c>
      <c r="Q260">
        <v>0</v>
      </c>
      <c r="R260">
        <v>0</v>
      </c>
      <c r="S260">
        <v>0</v>
      </c>
      <c r="T260">
        <v>30</v>
      </c>
      <c r="U260">
        <v>68.39</v>
      </c>
      <c r="V260" t="s">
        <v>45</v>
      </c>
      <c r="W260">
        <v>0</v>
      </c>
      <c r="X260" t="s">
        <v>31</v>
      </c>
    </row>
    <row r="261" spans="1:24" x14ac:dyDescent="0.3">
      <c r="A261" t="s">
        <v>313</v>
      </c>
      <c r="B261" t="s">
        <v>47</v>
      </c>
      <c r="C261" s="2">
        <v>45919.817361111112</v>
      </c>
      <c r="D261" s="2">
        <v>45919.831944444442</v>
      </c>
      <c r="E261">
        <v>0.35</v>
      </c>
      <c r="F261">
        <v>10</v>
      </c>
      <c r="G261" t="b">
        <v>0</v>
      </c>
      <c r="H261" s="2">
        <v>45919</v>
      </c>
      <c r="I261">
        <v>19</v>
      </c>
      <c r="J261" t="s">
        <v>41</v>
      </c>
      <c r="K261">
        <v>0</v>
      </c>
      <c r="L261" t="s">
        <v>42</v>
      </c>
      <c r="M261">
        <v>0.35</v>
      </c>
      <c r="N261" t="s">
        <v>49</v>
      </c>
      <c r="O261">
        <v>50</v>
      </c>
      <c r="P261" t="s">
        <v>50</v>
      </c>
      <c r="Q261">
        <v>0</v>
      </c>
      <c r="R261">
        <v>1</v>
      </c>
      <c r="S261">
        <v>0</v>
      </c>
      <c r="T261">
        <v>34.5</v>
      </c>
      <c r="U261">
        <v>10</v>
      </c>
      <c r="V261" t="s">
        <v>38</v>
      </c>
      <c r="W261">
        <v>1</v>
      </c>
      <c r="X261" t="s">
        <v>31</v>
      </c>
    </row>
    <row r="262" spans="1:24" x14ac:dyDescent="0.3">
      <c r="A262" t="s">
        <v>314</v>
      </c>
      <c r="B262" t="s">
        <v>47</v>
      </c>
      <c r="C262" s="2">
        <v>45920.900694444441</v>
      </c>
      <c r="D262" s="2">
        <v>45920.950694444437</v>
      </c>
      <c r="E262">
        <v>1.2</v>
      </c>
      <c r="F262">
        <v>22.48</v>
      </c>
      <c r="G262" t="b">
        <v>0</v>
      </c>
      <c r="H262" s="2">
        <v>45920</v>
      </c>
      <c r="I262">
        <v>21</v>
      </c>
      <c r="J262" t="s">
        <v>48</v>
      </c>
      <c r="K262">
        <v>1</v>
      </c>
      <c r="L262" t="s">
        <v>66</v>
      </c>
      <c r="M262">
        <v>1.2</v>
      </c>
      <c r="N262" t="s">
        <v>49</v>
      </c>
      <c r="O262">
        <v>50</v>
      </c>
      <c r="P262" t="s">
        <v>50</v>
      </c>
      <c r="Q262">
        <v>1</v>
      </c>
      <c r="R262">
        <v>0</v>
      </c>
      <c r="S262">
        <v>1</v>
      </c>
      <c r="T262">
        <v>28.2</v>
      </c>
      <c r="U262">
        <v>22.48</v>
      </c>
      <c r="V262" t="s">
        <v>45</v>
      </c>
      <c r="W262">
        <v>0</v>
      </c>
      <c r="X262" t="s">
        <v>59</v>
      </c>
    </row>
    <row r="263" spans="1:24" x14ac:dyDescent="0.3">
      <c r="A263" t="s">
        <v>315</v>
      </c>
      <c r="B263" t="s">
        <v>25</v>
      </c>
      <c r="C263" s="2">
        <v>45921.361805555563</v>
      </c>
      <c r="D263" s="2">
        <v>45921.423611111109</v>
      </c>
      <c r="E263">
        <v>1.4833333333333329</v>
      </c>
      <c r="F263">
        <v>23.67</v>
      </c>
      <c r="G263" t="b">
        <v>0</v>
      </c>
      <c r="H263" s="2">
        <v>45921</v>
      </c>
      <c r="I263">
        <v>8</v>
      </c>
      <c r="J263" t="s">
        <v>52</v>
      </c>
      <c r="K263">
        <v>1</v>
      </c>
      <c r="L263" t="s">
        <v>35</v>
      </c>
      <c r="M263">
        <v>1.4833333333333329</v>
      </c>
      <c r="N263" t="s">
        <v>28</v>
      </c>
      <c r="O263">
        <v>70</v>
      </c>
      <c r="P263" t="s">
        <v>29</v>
      </c>
      <c r="Q263">
        <v>1</v>
      </c>
      <c r="R263">
        <v>0</v>
      </c>
      <c r="S263">
        <v>0</v>
      </c>
      <c r="T263">
        <v>34.9</v>
      </c>
      <c r="U263">
        <v>23.67</v>
      </c>
      <c r="V263" t="s">
        <v>38</v>
      </c>
      <c r="W263">
        <v>0</v>
      </c>
      <c r="X263" t="s">
        <v>31</v>
      </c>
    </row>
    <row r="264" spans="1:24" x14ac:dyDescent="0.3">
      <c r="A264" t="s">
        <v>316</v>
      </c>
      <c r="B264" t="s">
        <v>33</v>
      </c>
      <c r="C264" s="2">
        <v>45922.307638888888</v>
      </c>
      <c r="D264" s="2">
        <v>45922.506944444453</v>
      </c>
      <c r="E264">
        <v>4.7833333333333332</v>
      </c>
      <c r="F264">
        <v>62.07</v>
      </c>
      <c r="G264" t="b">
        <v>0</v>
      </c>
      <c r="H264" s="2">
        <v>45922</v>
      </c>
      <c r="I264">
        <v>7</v>
      </c>
      <c r="J264" t="s">
        <v>54</v>
      </c>
      <c r="K264">
        <v>0</v>
      </c>
      <c r="L264" t="s">
        <v>35</v>
      </c>
      <c r="M264">
        <v>4.7833333333333332</v>
      </c>
      <c r="N264" t="s">
        <v>36</v>
      </c>
      <c r="O264">
        <v>60</v>
      </c>
      <c r="P264" t="s">
        <v>37</v>
      </c>
      <c r="Q264">
        <v>0</v>
      </c>
      <c r="R264">
        <v>0</v>
      </c>
      <c r="S264">
        <v>0</v>
      </c>
      <c r="T264">
        <v>27.5</v>
      </c>
      <c r="U264">
        <v>62.07</v>
      </c>
      <c r="V264" t="s">
        <v>38</v>
      </c>
      <c r="W264">
        <v>0</v>
      </c>
      <c r="X264" t="s">
        <v>31</v>
      </c>
    </row>
    <row r="265" spans="1:24" x14ac:dyDescent="0.3">
      <c r="A265" t="s">
        <v>317</v>
      </c>
      <c r="B265" t="s">
        <v>33</v>
      </c>
      <c r="C265" s="2">
        <v>45923.732638888891</v>
      </c>
      <c r="D265" s="2">
        <v>45923.894444444442</v>
      </c>
      <c r="E265">
        <v>3.8833333333333329</v>
      </c>
      <c r="F265">
        <v>58.64</v>
      </c>
      <c r="G265" t="b">
        <v>0</v>
      </c>
      <c r="H265" s="2">
        <v>45923</v>
      </c>
      <c r="I265">
        <v>17</v>
      </c>
      <c r="J265" t="s">
        <v>56</v>
      </c>
      <c r="K265">
        <v>0</v>
      </c>
      <c r="L265" t="s">
        <v>42</v>
      </c>
      <c r="M265">
        <v>3.8833333333333329</v>
      </c>
      <c r="N265" t="s">
        <v>36</v>
      </c>
      <c r="O265">
        <v>60</v>
      </c>
      <c r="P265" t="s">
        <v>37</v>
      </c>
      <c r="Q265">
        <v>0</v>
      </c>
      <c r="R265">
        <v>0</v>
      </c>
      <c r="S265">
        <v>1</v>
      </c>
      <c r="T265">
        <v>28</v>
      </c>
      <c r="U265">
        <v>58.64</v>
      </c>
      <c r="V265" t="s">
        <v>38</v>
      </c>
      <c r="W265">
        <v>0</v>
      </c>
      <c r="X265" t="s">
        <v>59</v>
      </c>
    </row>
    <row r="266" spans="1:24" x14ac:dyDescent="0.3">
      <c r="A266" t="s">
        <v>318</v>
      </c>
      <c r="B266" t="s">
        <v>25</v>
      </c>
      <c r="C266" s="2">
        <v>45924.675694444442</v>
      </c>
      <c r="D266" s="2">
        <v>45924.780555555553</v>
      </c>
      <c r="E266">
        <v>2.5166666666666671</v>
      </c>
      <c r="F266">
        <v>44.89</v>
      </c>
      <c r="G266" t="b">
        <v>0</v>
      </c>
      <c r="H266" s="2">
        <v>45924</v>
      </c>
      <c r="I266">
        <v>16</v>
      </c>
      <c r="J266" t="s">
        <v>26</v>
      </c>
      <c r="K266">
        <v>0</v>
      </c>
      <c r="L266" t="s">
        <v>27</v>
      </c>
      <c r="M266">
        <v>2.5166666666666671</v>
      </c>
      <c r="N266" t="s">
        <v>28</v>
      </c>
      <c r="O266">
        <v>70</v>
      </c>
      <c r="P266" t="s">
        <v>29</v>
      </c>
      <c r="Q266">
        <v>0</v>
      </c>
      <c r="R266">
        <v>0</v>
      </c>
      <c r="S266">
        <v>0</v>
      </c>
      <c r="T266">
        <v>29</v>
      </c>
      <c r="U266">
        <v>44.89</v>
      </c>
      <c r="V266" t="s">
        <v>30</v>
      </c>
      <c r="W266">
        <v>0</v>
      </c>
      <c r="X266" t="s">
        <v>31</v>
      </c>
    </row>
    <row r="267" spans="1:24" x14ac:dyDescent="0.3">
      <c r="A267" t="s">
        <v>319</v>
      </c>
      <c r="B267" t="s">
        <v>61</v>
      </c>
      <c r="C267" s="2">
        <v>45926.34375</v>
      </c>
      <c r="D267" s="2">
        <v>45926.432638888888</v>
      </c>
      <c r="E267">
        <v>2.1333333333333329</v>
      </c>
      <c r="F267">
        <v>38.11</v>
      </c>
      <c r="G267" t="b">
        <v>0</v>
      </c>
      <c r="H267" s="2">
        <v>45926</v>
      </c>
      <c r="I267">
        <v>8</v>
      </c>
      <c r="J267" t="s">
        <v>41</v>
      </c>
      <c r="K267">
        <v>0</v>
      </c>
      <c r="L267" t="s">
        <v>35</v>
      </c>
      <c r="M267">
        <v>2.1333333333333329</v>
      </c>
      <c r="N267" t="s">
        <v>62</v>
      </c>
      <c r="O267">
        <v>80</v>
      </c>
      <c r="P267" t="s">
        <v>37</v>
      </c>
      <c r="Q267">
        <v>0</v>
      </c>
      <c r="R267">
        <v>1</v>
      </c>
      <c r="S267">
        <v>0</v>
      </c>
      <c r="T267">
        <v>29.8</v>
      </c>
      <c r="U267">
        <v>38.11</v>
      </c>
      <c r="V267" t="s">
        <v>45</v>
      </c>
      <c r="W267">
        <v>1</v>
      </c>
      <c r="X267" t="s">
        <v>31</v>
      </c>
    </row>
    <row r="268" spans="1:24" x14ac:dyDescent="0.3">
      <c r="A268" t="s">
        <v>320</v>
      </c>
      <c r="B268" t="s">
        <v>40</v>
      </c>
      <c r="C268" s="2">
        <v>45927.762499999997</v>
      </c>
      <c r="D268" s="2">
        <v>45927.848611111112</v>
      </c>
      <c r="E268">
        <v>2.0666666666666669</v>
      </c>
      <c r="F268">
        <v>34.85</v>
      </c>
      <c r="G268" t="b">
        <v>0</v>
      </c>
      <c r="H268" s="2">
        <v>45927</v>
      </c>
      <c r="I268">
        <v>18</v>
      </c>
      <c r="J268" t="s">
        <v>48</v>
      </c>
      <c r="K268">
        <v>1</v>
      </c>
      <c r="L268" t="s">
        <v>42</v>
      </c>
      <c r="M268">
        <v>2.0666666666666669</v>
      </c>
      <c r="N268" t="s">
        <v>43</v>
      </c>
      <c r="O268">
        <v>100</v>
      </c>
      <c r="P268" t="s">
        <v>44</v>
      </c>
      <c r="Q268">
        <v>1</v>
      </c>
      <c r="R268">
        <v>0</v>
      </c>
      <c r="S268">
        <v>0</v>
      </c>
      <c r="T268">
        <v>30.7</v>
      </c>
      <c r="U268">
        <v>34.85</v>
      </c>
      <c r="V268" t="s">
        <v>38</v>
      </c>
      <c r="W268">
        <v>0</v>
      </c>
      <c r="X268" t="s">
        <v>31</v>
      </c>
    </row>
    <row r="269" spans="1:24" x14ac:dyDescent="0.3">
      <c r="A269" t="s">
        <v>321</v>
      </c>
      <c r="B269" t="s">
        <v>40</v>
      </c>
      <c r="C269" s="2">
        <v>45928.457638888889</v>
      </c>
      <c r="D269" s="2">
        <v>45928.49722222222</v>
      </c>
      <c r="E269">
        <v>0.95</v>
      </c>
      <c r="F269">
        <v>10</v>
      </c>
      <c r="G269" t="b">
        <v>0</v>
      </c>
      <c r="H269" s="2">
        <v>45928</v>
      </c>
      <c r="I269">
        <v>10</v>
      </c>
      <c r="J269" t="s">
        <v>52</v>
      </c>
      <c r="K269">
        <v>1</v>
      </c>
      <c r="L269" t="s">
        <v>35</v>
      </c>
      <c r="M269">
        <v>0.95</v>
      </c>
      <c r="N269" t="s">
        <v>43</v>
      </c>
      <c r="O269">
        <v>100</v>
      </c>
      <c r="P269" t="s">
        <v>44</v>
      </c>
      <c r="Q269">
        <v>1</v>
      </c>
      <c r="R269">
        <v>0</v>
      </c>
      <c r="S269">
        <v>0</v>
      </c>
      <c r="T269">
        <v>36.700000000000003</v>
      </c>
      <c r="U269">
        <v>10</v>
      </c>
      <c r="V269" t="s">
        <v>38</v>
      </c>
      <c r="W269">
        <v>0</v>
      </c>
      <c r="X269" t="s">
        <v>31</v>
      </c>
    </row>
    <row r="270" spans="1:24" x14ac:dyDescent="0.3">
      <c r="A270" t="s">
        <v>322</v>
      </c>
      <c r="B270" t="s">
        <v>40</v>
      </c>
      <c r="C270" s="2">
        <v>45929.54791666667</v>
      </c>
      <c r="D270" s="2">
        <v>45929.581250000003</v>
      </c>
      <c r="E270">
        <v>0.8</v>
      </c>
      <c r="F270">
        <v>23.58</v>
      </c>
      <c r="G270" t="b">
        <v>0</v>
      </c>
      <c r="H270" s="2">
        <v>45929</v>
      </c>
      <c r="I270">
        <v>13</v>
      </c>
      <c r="J270" t="s">
        <v>54</v>
      </c>
      <c r="K270">
        <v>0</v>
      </c>
      <c r="L270" t="s">
        <v>27</v>
      </c>
      <c r="M270">
        <v>0.8</v>
      </c>
      <c r="N270" t="s">
        <v>43</v>
      </c>
      <c r="O270">
        <v>100</v>
      </c>
      <c r="P270" t="s">
        <v>44</v>
      </c>
      <c r="Q270">
        <v>0</v>
      </c>
      <c r="R270">
        <v>0</v>
      </c>
      <c r="S270">
        <v>1</v>
      </c>
      <c r="T270">
        <v>36.9</v>
      </c>
      <c r="U270">
        <v>23.58</v>
      </c>
      <c r="V270" t="s">
        <v>45</v>
      </c>
      <c r="W270">
        <v>0</v>
      </c>
      <c r="X270" t="s">
        <v>59</v>
      </c>
    </row>
    <row r="271" spans="1:24" x14ac:dyDescent="0.3">
      <c r="A271" t="s">
        <v>323</v>
      </c>
      <c r="B271" t="s">
        <v>47</v>
      </c>
      <c r="C271" s="2">
        <v>45930.854166666657</v>
      </c>
      <c r="D271" s="2">
        <v>45930.956250000003</v>
      </c>
      <c r="E271">
        <v>2.4500000000000002</v>
      </c>
      <c r="F271">
        <v>39.15</v>
      </c>
      <c r="G271" t="b">
        <v>0</v>
      </c>
      <c r="H271" s="2">
        <v>45930</v>
      </c>
      <c r="I271">
        <v>20</v>
      </c>
      <c r="J271" t="s">
        <v>56</v>
      </c>
      <c r="K271">
        <v>0</v>
      </c>
      <c r="L271" t="s">
        <v>42</v>
      </c>
      <c r="M271">
        <v>2.4500000000000002</v>
      </c>
      <c r="N271" t="s">
        <v>49</v>
      </c>
      <c r="O271">
        <v>50</v>
      </c>
      <c r="P271" t="s">
        <v>50</v>
      </c>
      <c r="Q271">
        <v>0</v>
      </c>
      <c r="R271">
        <v>0</v>
      </c>
      <c r="S271">
        <v>1</v>
      </c>
      <c r="T271">
        <v>31.9</v>
      </c>
      <c r="U271">
        <v>39.15</v>
      </c>
      <c r="V271" t="s">
        <v>45</v>
      </c>
      <c r="W271">
        <v>0</v>
      </c>
      <c r="X271" t="s">
        <v>59</v>
      </c>
    </row>
    <row r="272" spans="1:24" x14ac:dyDescent="0.3">
      <c r="A272" t="s">
        <v>324</v>
      </c>
      <c r="B272" t="s">
        <v>61</v>
      </c>
      <c r="C272" s="2">
        <v>45931.914583333331</v>
      </c>
      <c r="F272">
        <v>10.52</v>
      </c>
      <c r="G272" t="b">
        <v>1</v>
      </c>
      <c r="H272" s="2">
        <v>45931</v>
      </c>
      <c r="I272">
        <v>21</v>
      </c>
      <c r="J272" t="s">
        <v>26</v>
      </c>
      <c r="K272">
        <v>0</v>
      </c>
      <c r="L272" t="s">
        <v>66</v>
      </c>
      <c r="N272" t="s">
        <v>62</v>
      </c>
      <c r="O272">
        <v>80</v>
      </c>
      <c r="P272" t="s">
        <v>37</v>
      </c>
      <c r="Q272">
        <v>0</v>
      </c>
      <c r="R272">
        <v>0</v>
      </c>
      <c r="S272">
        <v>1</v>
      </c>
      <c r="T272">
        <v>33.299999999999997</v>
      </c>
      <c r="U272">
        <v>10.52</v>
      </c>
      <c r="V272" t="s">
        <v>38</v>
      </c>
      <c r="W272">
        <v>0</v>
      </c>
      <c r="X272" t="s">
        <v>59</v>
      </c>
    </row>
    <row r="273" spans="1:24" x14ac:dyDescent="0.3">
      <c r="A273" t="s">
        <v>325</v>
      </c>
      <c r="B273" t="s">
        <v>40</v>
      </c>
      <c r="C273" s="2">
        <v>45932.948611111111</v>
      </c>
      <c r="D273" s="2">
        <v>45932.972222222219</v>
      </c>
      <c r="E273">
        <v>0.56666666666666665</v>
      </c>
      <c r="F273">
        <v>12.39</v>
      </c>
      <c r="G273" t="b">
        <v>0</v>
      </c>
      <c r="H273" s="2">
        <v>45932</v>
      </c>
      <c r="I273">
        <v>22</v>
      </c>
      <c r="J273" t="s">
        <v>34</v>
      </c>
      <c r="K273">
        <v>0</v>
      </c>
      <c r="L273" t="s">
        <v>66</v>
      </c>
      <c r="M273">
        <v>0.56666666666666665</v>
      </c>
      <c r="N273" t="s">
        <v>43</v>
      </c>
      <c r="O273">
        <v>100</v>
      </c>
      <c r="P273" t="s">
        <v>44</v>
      </c>
      <c r="Q273">
        <v>1</v>
      </c>
      <c r="R273">
        <v>0</v>
      </c>
      <c r="S273">
        <v>0</v>
      </c>
      <c r="T273">
        <v>30</v>
      </c>
      <c r="U273">
        <v>12.39</v>
      </c>
      <c r="V273" t="s">
        <v>30</v>
      </c>
      <c r="W273">
        <v>0</v>
      </c>
      <c r="X273" t="s">
        <v>31</v>
      </c>
    </row>
    <row r="274" spans="1:24" x14ac:dyDescent="0.3">
      <c r="A274" t="s">
        <v>326</v>
      </c>
      <c r="B274" t="s">
        <v>33</v>
      </c>
      <c r="C274" s="2">
        <v>45933.397916666669</v>
      </c>
      <c r="D274" s="2">
        <v>45933.481944444437</v>
      </c>
      <c r="E274">
        <v>2.0166666666666671</v>
      </c>
      <c r="F274">
        <v>41.84</v>
      </c>
      <c r="G274" t="b">
        <v>0</v>
      </c>
      <c r="H274" s="2">
        <v>45933</v>
      </c>
      <c r="I274">
        <v>9</v>
      </c>
      <c r="J274" t="s">
        <v>41</v>
      </c>
      <c r="K274">
        <v>0</v>
      </c>
      <c r="L274" t="s">
        <v>35</v>
      </c>
      <c r="M274">
        <v>2.0166666666666671</v>
      </c>
      <c r="N274" t="s">
        <v>36</v>
      </c>
      <c r="O274">
        <v>60</v>
      </c>
      <c r="P274" t="s">
        <v>37</v>
      </c>
      <c r="Q274">
        <v>0</v>
      </c>
      <c r="R274">
        <v>0</v>
      </c>
      <c r="S274">
        <v>1</v>
      </c>
      <c r="T274">
        <v>31.6</v>
      </c>
      <c r="U274">
        <v>41.84</v>
      </c>
      <c r="V274" t="s">
        <v>38</v>
      </c>
      <c r="W274">
        <v>0</v>
      </c>
      <c r="X274" t="s">
        <v>59</v>
      </c>
    </row>
    <row r="275" spans="1:24" x14ac:dyDescent="0.3">
      <c r="A275" t="s">
        <v>327</v>
      </c>
      <c r="B275" t="s">
        <v>25</v>
      </c>
      <c r="C275" s="2">
        <v>45934.929166666669</v>
      </c>
      <c r="D275" s="2">
        <v>45935.179861111108</v>
      </c>
      <c r="E275">
        <v>6.0166666666666666</v>
      </c>
      <c r="F275">
        <v>104.13</v>
      </c>
      <c r="G275" t="b">
        <v>0</v>
      </c>
      <c r="H275" s="2">
        <v>45934</v>
      </c>
      <c r="I275">
        <v>22</v>
      </c>
      <c r="J275" t="s">
        <v>48</v>
      </c>
      <c r="K275">
        <v>1</v>
      </c>
      <c r="L275" t="s">
        <v>66</v>
      </c>
      <c r="M275">
        <v>6.0166666666666666</v>
      </c>
      <c r="N275" t="s">
        <v>28</v>
      </c>
      <c r="O275">
        <v>70</v>
      </c>
      <c r="P275" t="s">
        <v>29</v>
      </c>
      <c r="Q275">
        <v>1</v>
      </c>
      <c r="R275">
        <v>0</v>
      </c>
      <c r="S275">
        <v>0</v>
      </c>
      <c r="T275">
        <v>27.1</v>
      </c>
      <c r="U275">
        <v>104.13</v>
      </c>
      <c r="V275" t="s">
        <v>38</v>
      </c>
      <c r="W275">
        <v>0</v>
      </c>
      <c r="X275" t="s">
        <v>31</v>
      </c>
    </row>
    <row r="276" spans="1:24" x14ac:dyDescent="0.3">
      <c r="A276" t="s">
        <v>328</v>
      </c>
      <c r="B276" t="s">
        <v>47</v>
      </c>
      <c r="C276" s="2">
        <v>45935.826388888891</v>
      </c>
      <c r="D276" s="2">
        <v>45935.859027777777</v>
      </c>
      <c r="E276">
        <v>0.78333333333333333</v>
      </c>
      <c r="F276">
        <v>10.47</v>
      </c>
      <c r="G276" t="b">
        <v>0</v>
      </c>
      <c r="H276" s="2">
        <v>45935</v>
      </c>
      <c r="I276">
        <v>19</v>
      </c>
      <c r="J276" t="s">
        <v>52</v>
      </c>
      <c r="K276">
        <v>1</v>
      </c>
      <c r="L276" t="s">
        <v>42</v>
      </c>
      <c r="M276">
        <v>0.78333333333333333</v>
      </c>
      <c r="N276" t="s">
        <v>49</v>
      </c>
      <c r="O276">
        <v>50</v>
      </c>
      <c r="P276" t="s">
        <v>50</v>
      </c>
      <c r="Q276">
        <v>1</v>
      </c>
      <c r="R276">
        <v>1</v>
      </c>
      <c r="S276">
        <v>0</v>
      </c>
      <c r="T276">
        <v>36.9</v>
      </c>
      <c r="U276">
        <v>10.47</v>
      </c>
      <c r="V276" t="s">
        <v>38</v>
      </c>
      <c r="W276">
        <v>1</v>
      </c>
      <c r="X276" t="s">
        <v>31</v>
      </c>
    </row>
    <row r="277" spans="1:24" x14ac:dyDescent="0.3">
      <c r="A277" t="s">
        <v>329</v>
      </c>
      <c r="B277" t="s">
        <v>40</v>
      </c>
      <c r="C277" s="2">
        <v>45936.728472222218</v>
      </c>
      <c r="D277" s="2">
        <v>45936.789583333331</v>
      </c>
      <c r="E277">
        <v>1.466666666666667</v>
      </c>
      <c r="F277">
        <v>28.86</v>
      </c>
      <c r="G277" t="b">
        <v>0</v>
      </c>
      <c r="H277" s="2">
        <v>45936</v>
      </c>
      <c r="I277">
        <v>17</v>
      </c>
      <c r="J277" t="s">
        <v>54</v>
      </c>
      <c r="K277">
        <v>0</v>
      </c>
      <c r="L277" t="s">
        <v>42</v>
      </c>
      <c r="M277">
        <v>1.466666666666667</v>
      </c>
      <c r="N277" t="s">
        <v>43</v>
      </c>
      <c r="O277">
        <v>100</v>
      </c>
      <c r="P277" t="s">
        <v>44</v>
      </c>
      <c r="Q277">
        <v>0</v>
      </c>
      <c r="R277">
        <v>0</v>
      </c>
      <c r="S277">
        <v>1</v>
      </c>
      <c r="T277">
        <v>31.5</v>
      </c>
      <c r="U277">
        <v>28.86</v>
      </c>
      <c r="V277" t="s">
        <v>38</v>
      </c>
      <c r="W277">
        <v>0</v>
      </c>
      <c r="X277" t="s">
        <v>59</v>
      </c>
    </row>
    <row r="278" spans="1:24" x14ac:dyDescent="0.3">
      <c r="A278" t="s">
        <v>330</v>
      </c>
      <c r="B278" t="s">
        <v>33</v>
      </c>
      <c r="C278" s="2">
        <v>45937.935416666667</v>
      </c>
      <c r="D278" s="2">
        <v>45938.011111111111</v>
      </c>
      <c r="E278">
        <v>1.8166666666666671</v>
      </c>
      <c r="F278">
        <v>25.14</v>
      </c>
      <c r="G278" t="b">
        <v>0</v>
      </c>
      <c r="H278" s="2">
        <v>45937</v>
      </c>
      <c r="I278">
        <v>22</v>
      </c>
      <c r="J278" t="s">
        <v>56</v>
      </c>
      <c r="K278">
        <v>0</v>
      </c>
      <c r="L278" t="s">
        <v>66</v>
      </c>
      <c r="M278">
        <v>1.8166666666666671</v>
      </c>
      <c r="N278" t="s">
        <v>36</v>
      </c>
      <c r="O278">
        <v>60</v>
      </c>
      <c r="P278" t="s">
        <v>37</v>
      </c>
      <c r="Q278">
        <v>0</v>
      </c>
      <c r="R278">
        <v>0</v>
      </c>
      <c r="S278">
        <v>0</v>
      </c>
      <c r="T278">
        <v>30.8</v>
      </c>
      <c r="U278">
        <v>25.14</v>
      </c>
      <c r="V278" t="s">
        <v>30</v>
      </c>
      <c r="W278">
        <v>0</v>
      </c>
      <c r="X278" t="s">
        <v>31</v>
      </c>
    </row>
    <row r="279" spans="1:24" x14ac:dyDescent="0.3">
      <c r="A279" t="s">
        <v>331</v>
      </c>
      <c r="B279" t="s">
        <v>61</v>
      </c>
      <c r="C279" s="2">
        <v>45938.84097222222</v>
      </c>
      <c r="D279" s="2">
        <v>45938.965277777781</v>
      </c>
      <c r="E279">
        <v>2.9833333333333329</v>
      </c>
      <c r="F279">
        <v>40.36</v>
      </c>
      <c r="G279" t="b">
        <v>0</v>
      </c>
      <c r="H279" s="2">
        <v>45938</v>
      </c>
      <c r="I279">
        <v>20</v>
      </c>
      <c r="J279" t="s">
        <v>26</v>
      </c>
      <c r="K279">
        <v>0</v>
      </c>
      <c r="L279" t="s">
        <v>42</v>
      </c>
      <c r="M279">
        <v>2.9833333333333329</v>
      </c>
      <c r="N279" t="s">
        <v>62</v>
      </c>
      <c r="O279">
        <v>80</v>
      </c>
      <c r="P279" t="s">
        <v>37</v>
      </c>
      <c r="Q279">
        <v>0</v>
      </c>
      <c r="R279">
        <v>0</v>
      </c>
      <c r="S279">
        <v>1</v>
      </c>
      <c r="T279">
        <v>33</v>
      </c>
      <c r="U279">
        <v>40.36</v>
      </c>
      <c r="V279" t="s">
        <v>38</v>
      </c>
      <c r="W279">
        <v>0</v>
      </c>
      <c r="X279" t="s">
        <v>59</v>
      </c>
    </row>
    <row r="280" spans="1:24" x14ac:dyDescent="0.3">
      <c r="A280" t="s">
        <v>332</v>
      </c>
      <c r="B280" t="s">
        <v>25</v>
      </c>
      <c r="C280" s="2">
        <v>45939.613194444442</v>
      </c>
      <c r="D280" s="2">
        <v>45939.643750000003</v>
      </c>
      <c r="E280">
        <v>0.73333333333333328</v>
      </c>
      <c r="F280">
        <v>14.27</v>
      </c>
      <c r="G280" t="b">
        <v>0</v>
      </c>
      <c r="H280" s="2">
        <v>45939</v>
      </c>
      <c r="I280">
        <v>14</v>
      </c>
      <c r="J280" t="s">
        <v>34</v>
      </c>
      <c r="K280">
        <v>0</v>
      </c>
      <c r="L280" t="s">
        <v>27</v>
      </c>
      <c r="M280">
        <v>0.73333333333333328</v>
      </c>
      <c r="N280" t="s">
        <v>28</v>
      </c>
      <c r="O280">
        <v>70</v>
      </c>
      <c r="P280" t="s">
        <v>29</v>
      </c>
      <c r="Q280">
        <v>0</v>
      </c>
      <c r="R280">
        <v>0</v>
      </c>
      <c r="S280">
        <v>0</v>
      </c>
      <c r="T280">
        <v>40</v>
      </c>
      <c r="U280">
        <v>14.27</v>
      </c>
      <c r="V280" t="s">
        <v>38</v>
      </c>
      <c r="W280">
        <v>0</v>
      </c>
      <c r="X280" t="s">
        <v>31</v>
      </c>
    </row>
    <row r="281" spans="1:24" x14ac:dyDescent="0.3">
      <c r="A281" t="s">
        <v>333</v>
      </c>
      <c r="B281" t="s">
        <v>25</v>
      </c>
      <c r="C281" s="2">
        <v>45940.290972222218</v>
      </c>
      <c r="D281" s="2">
        <v>45940.463888888888</v>
      </c>
      <c r="E281">
        <v>4.1500000000000004</v>
      </c>
      <c r="F281">
        <v>77.33</v>
      </c>
      <c r="G281" t="b">
        <v>0</v>
      </c>
      <c r="H281" s="2">
        <v>45940</v>
      </c>
      <c r="I281">
        <v>6</v>
      </c>
      <c r="J281" t="s">
        <v>41</v>
      </c>
      <c r="K281">
        <v>0</v>
      </c>
      <c r="L281" t="s">
        <v>35</v>
      </c>
      <c r="M281">
        <v>4.1500000000000004</v>
      </c>
      <c r="N281" t="s">
        <v>28</v>
      </c>
      <c r="O281">
        <v>70</v>
      </c>
      <c r="P281" t="s">
        <v>29</v>
      </c>
      <c r="Q281">
        <v>0</v>
      </c>
      <c r="R281">
        <v>0</v>
      </c>
      <c r="S281">
        <v>0</v>
      </c>
      <c r="T281">
        <v>32.5</v>
      </c>
      <c r="U281">
        <v>77.33</v>
      </c>
      <c r="V281" t="s">
        <v>38</v>
      </c>
      <c r="W281">
        <v>0</v>
      </c>
      <c r="X281" t="s">
        <v>31</v>
      </c>
    </row>
    <row r="282" spans="1:24" x14ac:dyDescent="0.3">
      <c r="A282" t="s">
        <v>334</v>
      </c>
      <c r="B282" t="s">
        <v>25</v>
      </c>
      <c r="C282" s="2">
        <v>45941.79791666667</v>
      </c>
      <c r="F282">
        <v>24.69</v>
      </c>
      <c r="G282" t="b">
        <v>1</v>
      </c>
      <c r="H282" s="2">
        <v>45941</v>
      </c>
      <c r="I282">
        <v>19</v>
      </c>
      <c r="J282" t="s">
        <v>48</v>
      </c>
      <c r="K282">
        <v>1</v>
      </c>
      <c r="L282" t="s">
        <v>42</v>
      </c>
      <c r="N282" t="s">
        <v>28</v>
      </c>
      <c r="O282">
        <v>70</v>
      </c>
      <c r="P282" t="s">
        <v>29</v>
      </c>
      <c r="Q282">
        <v>1</v>
      </c>
      <c r="R282">
        <v>0</v>
      </c>
      <c r="S282">
        <v>1</v>
      </c>
      <c r="T282">
        <v>33.799999999999997</v>
      </c>
      <c r="U282">
        <v>24.69</v>
      </c>
      <c r="V282" t="s">
        <v>38</v>
      </c>
      <c r="W282">
        <v>0</v>
      </c>
      <c r="X282" t="s">
        <v>59</v>
      </c>
    </row>
    <row r="283" spans="1:24" x14ac:dyDescent="0.3">
      <c r="A283" t="s">
        <v>335</v>
      </c>
      <c r="B283" t="s">
        <v>47</v>
      </c>
      <c r="C283" s="2">
        <v>45942.773611111108</v>
      </c>
      <c r="D283" s="2">
        <v>45942.913194444453</v>
      </c>
      <c r="E283">
        <v>3.35</v>
      </c>
      <c r="F283">
        <v>57.98</v>
      </c>
      <c r="G283" t="b">
        <v>0</v>
      </c>
      <c r="H283" s="2">
        <v>45942</v>
      </c>
      <c r="I283">
        <v>18</v>
      </c>
      <c r="J283" t="s">
        <v>52</v>
      </c>
      <c r="K283">
        <v>1</v>
      </c>
      <c r="L283" t="s">
        <v>42</v>
      </c>
      <c r="M283">
        <v>3.35</v>
      </c>
      <c r="N283" t="s">
        <v>49</v>
      </c>
      <c r="O283">
        <v>50</v>
      </c>
      <c r="P283" t="s">
        <v>50</v>
      </c>
      <c r="Q283">
        <v>1</v>
      </c>
      <c r="R283">
        <v>1</v>
      </c>
      <c r="S283">
        <v>1</v>
      </c>
      <c r="T283">
        <v>28.1</v>
      </c>
      <c r="U283">
        <v>57.98</v>
      </c>
      <c r="V283" t="s">
        <v>30</v>
      </c>
      <c r="W283">
        <v>1</v>
      </c>
      <c r="X283" t="s">
        <v>59</v>
      </c>
    </row>
    <row r="284" spans="1:24" x14ac:dyDescent="0.3">
      <c r="A284" t="s">
        <v>336</v>
      </c>
      <c r="B284" t="s">
        <v>40</v>
      </c>
      <c r="C284" s="2">
        <v>45943.406944444447</v>
      </c>
      <c r="D284" s="2">
        <v>45943.51458333333</v>
      </c>
      <c r="E284">
        <v>2.583333333333333</v>
      </c>
      <c r="F284">
        <v>35.82</v>
      </c>
      <c r="G284" t="b">
        <v>0</v>
      </c>
      <c r="H284" s="2">
        <v>45943</v>
      </c>
      <c r="I284">
        <v>9</v>
      </c>
      <c r="J284" t="s">
        <v>54</v>
      </c>
      <c r="K284">
        <v>0</v>
      </c>
      <c r="L284" t="s">
        <v>35</v>
      </c>
      <c r="M284">
        <v>2.583333333333333</v>
      </c>
      <c r="N284" t="s">
        <v>43</v>
      </c>
      <c r="O284">
        <v>100</v>
      </c>
      <c r="P284" t="s">
        <v>44</v>
      </c>
      <c r="Q284">
        <v>0</v>
      </c>
      <c r="R284">
        <v>0</v>
      </c>
      <c r="S284">
        <v>0</v>
      </c>
      <c r="T284">
        <v>27.1</v>
      </c>
      <c r="U284">
        <v>35.82</v>
      </c>
      <c r="V284" t="s">
        <v>38</v>
      </c>
      <c r="W284">
        <v>0</v>
      </c>
      <c r="X284" t="s">
        <v>31</v>
      </c>
    </row>
    <row r="285" spans="1:24" x14ac:dyDescent="0.3">
      <c r="A285" t="s">
        <v>337</v>
      </c>
      <c r="B285" t="s">
        <v>25</v>
      </c>
      <c r="C285" s="2">
        <v>45944.922222222223</v>
      </c>
      <c r="D285" s="2">
        <v>45944.93472222222</v>
      </c>
      <c r="E285">
        <v>0.3</v>
      </c>
      <c r="F285">
        <v>12.58</v>
      </c>
      <c r="G285" t="b">
        <v>0</v>
      </c>
      <c r="H285" s="2">
        <v>45944</v>
      </c>
      <c r="I285">
        <v>22</v>
      </c>
      <c r="J285" t="s">
        <v>56</v>
      </c>
      <c r="K285">
        <v>0</v>
      </c>
      <c r="L285" t="s">
        <v>66</v>
      </c>
      <c r="M285">
        <v>0.3</v>
      </c>
      <c r="N285" t="s">
        <v>28</v>
      </c>
      <c r="O285">
        <v>70</v>
      </c>
      <c r="P285" t="s">
        <v>29</v>
      </c>
      <c r="Q285">
        <v>0</v>
      </c>
      <c r="R285">
        <v>0</v>
      </c>
      <c r="S285">
        <v>0</v>
      </c>
      <c r="T285">
        <v>32.5</v>
      </c>
      <c r="U285">
        <v>12.58</v>
      </c>
      <c r="V285" t="s">
        <v>38</v>
      </c>
      <c r="W285">
        <v>0</v>
      </c>
      <c r="X285" t="s">
        <v>31</v>
      </c>
    </row>
    <row r="286" spans="1:24" x14ac:dyDescent="0.3">
      <c r="A286" t="s">
        <v>338</v>
      </c>
      <c r="B286" t="s">
        <v>40</v>
      </c>
      <c r="C286" s="2">
        <v>45945.462500000001</v>
      </c>
      <c r="D286" s="2">
        <v>45945.551388888889</v>
      </c>
      <c r="E286">
        <v>2.1333333333333329</v>
      </c>
      <c r="F286">
        <v>45.75</v>
      </c>
      <c r="G286" t="b">
        <v>0</v>
      </c>
      <c r="H286" s="2">
        <v>45945</v>
      </c>
      <c r="I286">
        <v>11</v>
      </c>
      <c r="J286" t="s">
        <v>26</v>
      </c>
      <c r="K286">
        <v>0</v>
      </c>
      <c r="L286" t="s">
        <v>35</v>
      </c>
      <c r="M286">
        <v>2.1333333333333329</v>
      </c>
      <c r="N286" t="s">
        <v>43</v>
      </c>
      <c r="O286">
        <v>100</v>
      </c>
      <c r="P286" t="s">
        <v>44</v>
      </c>
      <c r="Q286">
        <v>0</v>
      </c>
      <c r="R286">
        <v>0</v>
      </c>
      <c r="S286">
        <v>0</v>
      </c>
      <c r="T286">
        <v>24.7</v>
      </c>
      <c r="U286">
        <v>45.75</v>
      </c>
      <c r="V286" t="s">
        <v>38</v>
      </c>
      <c r="W286">
        <v>0</v>
      </c>
      <c r="X286" t="s">
        <v>31</v>
      </c>
    </row>
    <row r="287" spans="1:24" x14ac:dyDescent="0.3">
      <c r="A287" t="s">
        <v>339</v>
      </c>
      <c r="B287" t="s">
        <v>40</v>
      </c>
      <c r="C287" s="2">
        <v>45946.821527777778</v>
      </c>
      <c r="D287" s="2">
        <v>45947.038888888892</v>
      </c>
      <c r="E287">
        <v>5.2166666666666668</v>
      </c>
      <c r="F287">
        <v>88.99</v>
      </c>
      <c r="G287" t="b">
        <v>0</v>
      </c>
      <c r="H287" s="2">
        <v>45946</v>
      </c>
      <c r="I287">
        <v>19</v>
      </c>
      <c r="J287" t="s">
        <v>34</v>
      </c>
      <c r="K287">
        <v>0</v>
      </c>
      <c r="L287" t="s">
        <v>42</v>
      </c>
      <c r="M287">
        <v>5.2166666666666668</v>
      </c>
      <c r="N287" t="s">
        <v>43</v>
      </c>
      <c r="O287">
        <v>100</v>
      </c>
      <c r="P287" t="s">
        <v>44</v>
      </c>
      <c r="Q287">
        <v>0</v>
      </c>
      <c r="R287">
        <v>0</v>
      </c>
      <c r="S287">
        <v>0</v>
      </c>
      <c r="T287">
        <v>28.1</v>
      </c>
      <c r="U287">
        <v>88.99</v>
      </c>
      <c r="V287" t="s">
        <v>38</v>
      </c>
      <c r="W287">
        <v>0</v>
      </c>
      <c r="X287" t="s">
        <v>31</v>
      </c>
    </row>
    <row r="288" spans="1:24" x14ac:dyDescent="0.3">
      <c r="A288" t="s">
        <v>340</v>
      </c>
      <c r="B288" t="s">
        <v>47</v>
      </c>
      <c r="C288" s="2">
        <v>45947.807638888888</v>
      </c>
      <c r="D288" s="2">
        <v>45947.86041666667</v>
      </c>
      <c r="E288">
        <v>1.2666666666666671</v>
      </c>
      <c r="F288">
        <v>24.95</v>
      </c>
      <c r="G288" t="b">
        <v>0</v>
      </c>
      <c r="H288" s="2">
        <v>45947</v>
      </c>
      <c r="I288">
        <v>19</v>
      </c>
      <c r="J288" t="s">
        <v>41</v>
      </c>
      <c r="K288">
        <v>0</v>
      </c>
      <c r="L288" t="s">
        <v>42</v>
      </c>
      <c r="M288">
        <v>1.2666666666666671</v>
      </c>
      <c r="N288" t="s">
        <v>49</v>
      </c>
      <c r="O288">
        <v>50</v>
      </c>
      <c r="P288" t="s">
        <v>50</v>
      </c>
      <c r="Q288">
        <v>0</v>
      </c>
      <c r="R288">
        <v>0</v>
      </c>
      <c r="S288">
        <v>0</v>
      </c>
      <c r="T288">
        <v>28.5</v>
      </c>
      <c r="U288">
        <v>24.95</v>
      </c>
      <c r="V288" t="s">
        <v>38</v>
      </c>
      <c r="W288">
        <v>0</v>
      </c>
      <c r="X288" t="s">
        <v>31</v>
      </c>
    </row>
    <row r="289" spans="1:24" x14ac:dyDescent="0.3">
      <c r="A289" t="s">
        <v>341</v>
      </c>
      <c r="B289" t="s">
        <v>61</v>
      </c>
      <c r="C289" s="2">
        <v>45948.815972222219</v>
      </c>
      <c r="D289" s="2">
        <v>45948.94027777778</v>
      </c>
      <c r="E289">
        <v>2.9833333333333329</v>
      </c>
      <c r="F289">
        <v>34.909999999999997</v>
      </c>
      <c r="G289" t="b">
        <v>0</v>
      </c>
      <c r="H289" s="2">
        <v>45948</v>
      </c>
      <c r="I289">
        <v>19</v>
      </c>
      <c r="J289" t="s">
        <v>48</v>
      </c>
      <c r="K289">
        <v>1</v>
      </c>
      <c r="L289" t="s">
        <v>42</v>
      </c>
      <c r="M289">
        <v>2.9833333333333329</v>
      </c>
      <c r="N289" t="s">
        <v>62</v>
      </c>
      <c r="O289">
        <v>80</v>
      </c>
      <c r="P289" t="s">
        <v>37</v>
      </c>
      <c r="Q289">
        <v>1</v>
      </c>
      <c r="R289">
        <v>0</v>
      </c>
      <c r="S289">
        <v>0</v>
      </c>
      <c r="T289">
        <v>30.7</v>
      </c>
      <c r="U289">
        <v>34.909999999999997</v>
      </c>
      <c r="V289" t="s">
        <v>38</v>
      </c>
      <c r="W289">
        <v>0</v>
      </c>
      <c r="X289" t="s">
        <v>31</v>
      </c>
    </row>
    <row r="290" spans="1:24" x14ac:dyDescent="0.3">
      <c r="A290" t="s">
        <v>342</v>
      </c>
      <c r="B290" t="s">
        <v>33</v>
      </c>
      <c r="C290" s="2">
        <v>45949.501388888893</v>
      </c>
      <c r="D290" s="2">
        <v>45949.590277777781</v>
      </c>
      <c r="E290">
        <v>2.1333333333333329</v>
      </c>
      <c r="F290">
        <v>40.1</v>
      </c>
      <c r="G290" t="b">
        <v>0</v>
      </c>
      <c r="H290" s="2">
        <v>45949</v>
      </c>
      <c r="I290">
        <v>12</v>
      </c>
      <c r="J290" t="s">
        <v>52</v>
      </c>
      <c r="K290">
        <v>1</v>
      </c>
      <c r="L290" t="s">
        <v>27</v>
      </c>
      <c r="M290">
        <v>2.1333333333333329</v>
      </c>
      <c r="N290" t="s">
        <v>36</v>
      </c>
      <c r="O290">
        <v>60</v>
      </c>
      <c r="P290" t="s">
        <v>37</v>
      </c>
      <c r="Q290">
        <v>1</v>
      </c>
      <c r="R290">
        <v>1</v>
      </c>
      <c r="S290">
        <v>0</v>
      </c>
      <c r="T290">
        <v>29.9</v>
      </c>
      <c r="U290">
        <v>40.1</v>
      </c>
      <c r="V290" t="s">
        <v>38</v>
      </c>
      <c r="W290">
        <v>1</v>
      </c>
      <c r="X290" t="s">
        <v>31</v>
      </c>
    </row>
    <row r="291" spans="1:24" x14ac:dyDescent="0.3">
      <c r="A291" t="s">
        <v>343</v>
      </c>
      <c r="B291" t="s">
        <v>47</v>
      </c>
      <c r="C291" s="2">
        <v>45950.592361111107</v>
      </c>
      <c r="D291" s="2">
        <v>45950.602777777778</v>
      </c>
      <c r="E291">
        <v>0.25</v>
      </c>
      <c r="F291">
        <v>11.18</v>
      </c>
      <c r="G291" t="b">
        <v>0</v>
      </c>
      <c r="H291" s="2">
        <v>45950</v>
      </c>
      <c r="I291">
        <v>14</v>
      </c>
      <c r="J291" t="s">
        <v>54</v>
      </c>
      <c r="K291">
        <v>0</v>
      </c>
      <c r="L291" t="s">
        <v>27</v>
      </c>
      <c r="M291">
        <v>0.25</v>
      </c>
      <c r="N291" t="s">
        <v>49</v>
      </c>
      <c r="O291">
        <v>50</v>
      </c>
      <c r="P291" t="s">
        <v>50</v>
      </c>
      <c r="Q291">
        <v>0</v>
      </c>
      <c r="R291">
        <v>0</v>
      </c>
      <c r="S291">
        <v>0</v>
      </c>
      <c r="T291">
        <v>28.4</v>
      </c>
      <c r="U291">
        <v>11.18</v>
      </c>
      <c r="V291" t="s">
        <v>45</v>
      </c>
      <c r="W291">
        <v>0</v>
      </c>
      <c r="X291" t="s">
        <v>31</v>
      </c>
    </row>
    <row r="292" spans="1:24" x14ac:dyDescent="0.3">
      <c r="A292" t="s">
        <v>344</v>
      </c>
      <c r="B292" t="s">
        <v>61</v>
      </c>
      <c r="C292" s="2">
        <v>45951.720833333333</v>
      </c>
      <c r="D292" s="2">
        <v>45951.738194444442</v>
      </c>
      <c r="E292">
        <v>0.41666666666666669</v>
      </c>
      <c r="F292">
        <v>13.19</v>
      </c>
      <c r="G292" t="b">
        <v>0</v>
      </c>
      <c r="H292" s="2">
        <v>45951</v>
      </c>
      <c r="I292">
        <v>17</v>
      </c>
      <c r="J292" t="s">
        <v>56</v>
      </c>
      <c r="K292">
        <v>0</v>
      </c>
      <c r="L292" t="s">
        <v>42</v>
      </c>
      <c r="M292">
        <v>0.41666666666666669</v>
      </c>
      <c r="N292" t="s">
        <v>62</v>
      </c>
      <c r="O292">
        <v>80</v>
      </c>
      <c r="P292" t="s">
        <v>37</v>
      </c>
      <c r="Q292">
        <v>0</v>
      </c>
      <c r="R292">
        <v>0</v>
      </c>
      <c r="S292">
        <v>0</v>
      </c>
      <c r="T292">
        <v>33.1</v>
      </c>
      <c r="U292">
        <v>13.19</v>
      </c>
      <c r="V292" t="s">
        <v>30</v>
      </c>
      <c r="W292">
        <v>0</v>
      </c>
      <c r="X292" t="s">
        <v>31</v>
      </c>
    </row>
    <row r="293" spans="1:24" x14ac:dyDescent="0.3">
      <c r="A293" t="s">
        <v>345</v>
      </c>
      <c r="B293" t="s">
        <v>47</v>
      </c>
      <c r="C293" s="2">
        <v>45952.487500000003</v>
      </c>
      <c r="D293" s="2">
        <v>45952.572222222218</v>
      </c>
      <c r="E293">
        <v>2.0333333333333332</v>
      </c>
      <c r="F293">
        <v>34.49</v>
      </c>
      <c r="G293" t="b">
        <v>0</v>
      </c>
      <c r="H293" s="2">
        <v>45952</v>
      </c>
      <c r="I293">
        <v>11</v>
      </c>
      <c r="J293" t="s">
        <v>26</v>
      </c>
      <c r="K293">
        <v>0</v>
      </c>
      <c r="L293" t="s">
        <v>35</v>
      </c>
      <c r="M293">
        <v>2.0333333333333332</v>
      </c>
      <c r="N293" t="s">
        <v>49</v>
      </c>
      <c r="O293">
        <v>50</v>
      </c>
      <c r="P293" t="s">
        <v>50</v>
      </c>
      <c r="Q293">
        <v>0</v>
      </c>
      <c r="R293">
        <v>0</v>
      </c>
      <c r="S293">
        <v>0</v>
      </c>
      <c r="T293">
        <v>26.6</v>
      </c>
      <c r="U293">
        <v>34.49</v>
      </c>
      <c r="V293" t="s">
        <v>45</v>
      </c>
      <c r="W293">
        <v>0</v>
      </c>
      <c r="X293" t="s">
        <v>31</v>
      </c>
    </row>
    <row r="294" spans="1:24" x14ac:dyDescent="0.3">
      <c r="A294" t="s">
        <v>346</v>
      </c>
      <c r="B294" t="s">
        <v>47</v>
      </c>
      <c r="C294" s="2">
        <v>45953.293749999997</v>
      </c>
      <c r="D294" s="2">
        <v>45953.337500000001</v>
      </c>
      <c r="E294">
        <v>1.05</v>
      </c>
      <c r="F294">
        <v>26.67</v>
      </c>
      <c r="G294" t="b">
        <v>0</v>
      </c>
      <c r="H294" s="2">
        <v>45953</v>
      </c>
      <c r="I294">
        <v>7</v>
      </c>
      <c r="J294" t="s">
        <v>34</v>
      </c>
      <c r="K294">
        <v>0</v>
      </c>
      <c r="L294" t="s">
        <v>35</v>
      </c>
      <c r="M294">
        <v>1.05</v>
      </c>
      <c r="N294" t="s">
        <v>49</v>
      </c>
      <c r="O294">
        <v>50</v>
      </c>
      <c r="P294" t="s">
        <v>50</v>
      </c>
      <c r="Q294">
        <v>0</v>
      </c>
      <c r="R294">
        <v>0</v>
      </c>
      <c r="S294">
        <v>0</v>
      </c>
      <c r="T294">
        <v>22.7</v>
      </c>
      <c r="U294">
        <v>26.67</v>
      </c>
      <c r="V294" t="s">
        <v>38</v>
      </c>
      <c r="W294">
        <v>0</v>
      </c>
      <c r="X294" t="s">
        <v>31</v>
      </c>
    </row>
    <row r="295" spans="1:24" x14ac:dyDescent="0.3">
      <c r="A295" t="s">
        <v>347</v>
      </c>
      <c r="B295" t="s">
        <v>40</v>
      </c>
      <c r="C295" s="2">
        <v>45954.880555555559</v>
      </c>
      <c r="D295" s="2">
        <v>45954.929861111108</v>
      </c>
      <c r="E295">
        <v>1.1833333333333329</v>
      </c>
      <c r="F295">
        <v>29.92</v>
      </c>
      <c r="G295" t="b">
        <v>0</v>
      </c>
      <c r="H295" s="2">
        <v>45954</v>
      </c>
      <c r="I295">
        <v>21</v>
      </c>
      <c r="J295" t="s">
        <v>41</v>
      </c>
      <c r="K295">
        <v>0</v>
      </c>
      <c r="L295" t="s">
        <v>66</v>
      </c>
      <c r="M295">
        <v>1.1833333333333329</v>
      </c>
      <c r="N295" t="s">
        <v>43</v>
      </c>
      <c r="O295">
        <v>100</v>
      </c>
      <c r="P295" t="s">
        <v>44</v>
      </c>
      <c r="Q295">
        <v>0</v>
      </c>
      <c r="R295">
        <v>0</v>
      </c>
      <c r="S295">
        <v>0</v>
      </c>
      <c r="T295">
        <v>35.799999999999997</v>
      </c>
      <c r="U295">
        <v>29.92</v>
      </c>
      <c r="V295" t="s">
        <v>38</v>
      </c>
      <c r="W295">
        <v>0</v>
      </c>
      <c r="X295" t="s">
        <v>31</v>
      </c>
    </row>
    <row r="296" spans="1:24" x14ac:dyDescent="0.3">
      <c r="A296" t="s">
        <v>348</v>
      </c>
      <c r="B296" t="s">
        <v>33</v>
      </c>
      <c r="C296" s="2">
        <v>45955.806944444441</v>
      </c>
      <c r="D296" s="2">
        <v>45955.831944444442</v>
      </c>
      <c r="E296">
        <v>0.6</v>
      </c>
      <c r="F296">
        <v>14.68</v>
      </c>
      <c r="G296" t="b">
        <v>0</v>
      </c>
      <c r="H296" s="2">
        <v>45955</v>
      </c>
      <c r="I296">
        <v>19</v>
      </c>
      <c r="J296" t="s">
        <v>48</v>
      </c>
      <c r="K296">
        <v>1</v>
      </c>
      <c r="L296" t="s">
        <v>42</v>
      </c>
      <c r="M296">
        <v>0.6</v>
      </c>
      <c r="N296" t="s">
        <v>36</v>
      </c>
      <c r="O296">
        <v>60</v>
      </c>
      <c r="P296" t="s">
        <v>37</v>
      </c>
      <c r="Q296">
        <v>1</v>
      </c>
      <c r="R296">
        <v>0</v>
      </c>
      <c r="S296">
        <v>0</v>
      </c>
      <c r="T296">
        <v>25.5</v>
      </c>
      <c r="U296">
        <v>14.68</v>
      </c>
      <c r="V296" t="s">
        <v>38</v>
      </c>
      <c r="W296">
        <v>0</v>
      </c>
      <c r="X296" t="s">
        <v>31</v>
      </c>
    </row>
    <row r="297" spans="1:24" x14ac:dyDescent="0.3">
      <c r="A297" t="s">
        <v>349</v>
      </c>
      <c r="B297" t="s">
        <v>25</v>
      </c>
      <c r="C297" s="2">
        <v>45956.624305555553</v>
      </c>
      <c r="D297" s="2">
        <v>45956.70416666667</v>
      </c>
      <c r="E297">
        <v>1.916666666666667</v>
      </c>
      <c r="F297">
        <v>21.54</v>
      </c>
      <c r="G297" t="b">
        <v>0</v>
      </c>
      <c r="H297" s="2">
        <v>45956</v>
      </c>
      <c r="I297">
        <v>14</v>
      </c>
      <c r="J297" t="s">
        <v>52</v>
      </c>
      <c r="K297">
        <v>1</v>
      </c>
      <c r="L297" t="s">
        <v>27</v>
      </c>
      <c r="M297">
        <v>1.916666666666667</v>
      </c>
      <c r="N297" t="s">
        <v>28</v>
      </c>
      <c r="O297">
        <v>70</v>
      </c>
      <c r="P297" t="s">
        <v>29</v>
      </c>
      <c r="Q297">
        <v>1</v>
      </c>
      <c r="R297">
        <v>1</v>
      </c>
      <c r="S297">
        <v>1</v>
      </c>
      <c r="T297">
        <v>27.4</v>
      </c>
      <c r="U297">
        <v>21.54</v>
      </c>
      <c r="V297" t="s">
        <v>38</v>
      </c>
      <c r="W297">
        <v>1</v>
      </c>
      <c r="X297" t="s">
        <v>59</v>
      </c>
    </row>
    <row r="298" spans="1:24" x14ac:dyDescent="0.3">
      <c r="A298" t="s">
        <v>350</v>
      </c>
      <c r="B298" t="s">
        <v>61</v>
      </c>
      <c r="C298" s="2">
        <v>45957.484027777777</v>
      </c>
      <c r="D298" s="2">
        <v>45957.57708333333</v>
      </c>
      <c r="E298">
        <v>2.2333333333333329</v>
      </c>
      <c r="F298">
        <v>38.67</v>
      </c>
      <c r="G298" t="b">
        <v>0</v>
      </c>
      <c r="H298" s="2">
        <v>45957</v>
      </c>
      <c r="I298">
        <v>11</v>
      </c>
      <c r="J298" t="s">
        <v>54</v>
      </c>
      <c r="K298">
        <v>0</v>
      </c>
      <c r="L298" t="s">
        <v>35</v>
      </c>
      <c r="M298">
        <v>2.2333333333333329</v>
      </c>
      <c r="N298" t="s">
        <v>62</v>
      </c>
      <c r="O298">
        <v>80</v>
      </c>
      <c r="P298" t="s">
        <v>37</v>
      </c>
      <c r="Q298">
        <v>0</v>
      </c>
      <c r="R298">
        <v>0</v>
      </c>
      <c r="S298">
        <v>1</v>
      </c>
      <c r="T298">
        <v>24.6</v>
      </c>
      <c r="U298">
        <v>38.67</v>
      </c>
      <c r="V298" t="s">
        <v>45</v>
      </c>
      <c r="W298">
        <v>0</v>
      </c>
      <c r="X298" t="s">
        <v>59</v>
      </c>
    </row>
    <row r="299" spans="1:24" x14ac:dyDescent="0.3">
      <c r="A299" t="s">
        <v>351</v>
      </c>
      <c r="B299" t="s">
        <v>61</v>
      </c>
      <c r="C299" s="2">
        <v>45958.678472222222</v>
      </c>
      <c r="D299" s="2">
        <v>45958.773611111108</v>
      </c>
      <c r="E299">
        <v>2.2833333333333332</v>
      </c>
      <c r="F299">
        <v>37.06</v>
      </c>
      <c r="G299" t="b">
        <v>0</v>
      </c>
      <c r="H299" s="2">
        <v>45958</v>
      </c>
      <c r="I299">
        <v>16</v>
      </c>
      <c r="J299" t="s">
        <v>56</v>
      </c>
      <c r="K299">
        <v>0</v>
      </c>
      <c r="L299" t="s">
        <v>27</v>
      </c>
      <c r="M299">
        <v>2.2833333333333332</v>
      </c>
      <c r="N299" t="s">
        <v>62</v>
      </c>
      <c r="O299">
        <v>80</v>
      </c>
      <c r="P299" t="s">
        <v>37</v>
      </c>
      <c r="Q299">
        <v>0</v>
      </c>
      <c r="R299">
        <v>0</v>
      </c>
      <c r="S299">
        <v>0</v>
      </c>
      <c r="T299">
        <v>22.9</v>
      </c>
      <c r="U299">
        <v>37.06</v>
      </c>
      <c r="V299" t="s">
        <v>30</v>
      </c>
      <c r="W299">
        <v>0</v>
      </c>
      <c r="X299" t="s">
        <v>31</v>
      </c>
    </row>
    <row r="300" spans="1:24" x14ac:dyDescent="0.3">
      <c r="A300" t="s">
        <v>352</v>
      </c>
      <c r="B300" t="s">
        <v>25</v>
      </c>
      <c r="C300" s="2">
        <v>45959.853472222218</v>
      </c>
      <c r="D300" s="2">
        <v>45960.066666666673</v>
      </c>
      <c r="E300">
        <v>5.1166666666666663</v>
      </c>
      <c r="F300">
        <v>84.37</v>
      </c>
      <c r="G300" t="b">
        <v>0</v>
      </c>
      <c r="H300" s="2">
        <v>45959</v>
      </c>
      <c r="I300">
        <v>20</v>
      </c>
      <c r="J300" t="s">
        <v>26</v>
      </c>
      <c r="K300">
        <v>0</v>
      </c>
      <c r="L300" t="s">
        <v>42</v>
      </c>
      <c r="M300">
        <v>5.1166666666666663</v>
      </c>
      <c r="N300" t="s">
        <v>28</v>
      </c>
      <c r="O300">
        <v>70</v>
      </c>
      <c r="P300" t="s">
        <v>29</v>
      </c>
      <c r="Q300">
        <v>0</v>
      </c>
      <c r="R300">
        <v>0</v>
      </c>
      <c r="S300">
        <v>0</v>
      </c>
      <c r="T300">
        <v>30.1</v>
      </c>
      <c r="U300">
        <v>84.37</v>
      </c>
      <c r="V300" t="s">
        <v>38</v>
      </c>
      <c r="W300">
        <v>0</v>
      </c>
      <c r="X300" t="s">
        <v>31</v>
      </c>
    </row>
    <row r="301" spans="1:24" x14ac:dyDescent="0.3">
      <c r="A301" t="s">
        <v>353</v>
      </c>
      <c r="B301" t="s">
        <v>47</v>
      </c>
      <c r="C301" s="2">
        <v>45960.370138888888</v>
      </c>
      <c r="D301" s="2">
        <v>45960.413888888892</v>
      </c>
      <c r="E301">
        <v>1.05</v>
      </c>
      <c r="F301">
        <v>24.18</v>
      </c>
      <c r="G301" t="b">
        <v>0</v>
      </c>
      <c r="H301" s="2">
        <v>45960</v>
      </c>
      <c r="I301">
        <v>8</v>
      </c>
      <c r="J301" t="s">
        <v>34</v>
      </c>
      <c r="K301">
        <v>0</v>
      </c>
      <c r="L301" t="s">
        <v>35</v>
      </c>
      <c r="M301">
        <v>1.05</v>
      </c>
      <c r="N301" t="s">
        <v>49</v>
      </c>
      <c r="O301">
        <v>50</v>
      </c>
      <c r="P301" t="s">
        <v>50</v>
      </c>
      <c r="Q301">
        <v>0</v>
      </c>
      <c r="R301">
        <v>0</v>
      </c>
      <c r="S301">
        <v>0</v>
      </c>
      <c r="T301">
        <v>28.2</v>
      </c>
      <c r="U301">
        <v>24.18</v>
      </c>
      <c r="V301" t="s">
        <v>30</v>
      </c>
      <c r="W301">
        <v>0</v>
      </c>
      <c r="X301" t="s">
        <v>31</v>
      </c>
    </row>
    <row r="302" spans="1:24" x14ac:dyDescent="0.3">
      <c r="A302" t="s">
        <v>354</v>
      </c>
      <c r="B302" t="s">
        <v>61</v>
      </c>
      <c r="C302" s="2">
        <v>45961.851388888892</v>
      </c>
      <c r="D302" s="2">
        <v>45961.865277777782</v>
      </c>
      <c r="E302">
        <v>0.33333333333333331</v>
      </c>
      <c r="F302">
        <v>12.75</v>
      </c>
      <c r="G302" t="b">
        <v>0</v>
      </c>
      <c r="H302" s="2">
        <v>45961</v>
      </c>
      <c r="I302">
        <v>20</v>
      </c>
      <c r="J302" t="s">
        <v>41</v>
      </c>
      <c r="K302">
        <v>0</v>
      </c>
      <c r="L302" t="s">
        <v>42</v>
      </c>
      <c r="M302">
        <v>0.33333333333333331</v>
      </c>
      <c r="N302" t="s">
        <v>62</v>
      </c>
      <c r="O302">
        <v>80</v>
      </c>
      <c r="P302" t="s">
        <v>37</v>
      </c>
      <c r="Q302">
        <v>0</v>
      </c>
      <c r="R302">
        <v>0</v>
      </c>
      <c r="S302">
        <v>0</v>
      </c>
      <c r="T302">
        <v>31.5</v>
      </c>
      <c r="U302">
        <v>12.75</v>
      </c>
      <c r="V302" t="s">
        <v>30</v>
      </c>
      <c r="W302">
        <v>0</v>
      </c>
      <c r="X302" t="s">
        <v>31</v>
      </c>
    </row>
    <row r="303" spans="1:24" x14ac:dyDescent="0.3">
      <c r="A303" t="s">
        <v>355</v>
      </c>
      <c r="B303" t="s">
        <v>40</v>
      </c>
      <c r="C303" s="2">
        <v>45962.659722222219</v>
      </c>
      <c r="D303" s="2">
        <v>45962.693749999999</v>
      </c>
      <c r="E303">
        <v>0.81666666666666665</v>
      </c>
      <c r="F303">
        <v>15.85</v>
      </c>
      <c r="G303" t="b">
        <v>0</v>
      </c>
      <c r="H303" s="2">
        <v>45962</v>
      </c>
      <c r="I303">
        <v>15</v>
      </c>
      <c r="J303" t="s">
        <v>48</v>
      </c>
      <c r="K303">
        <v>1</v>
      </c>
      <c r="L303" t="s">
        <v>27</v>
      </c>
      <c r="M303">
        <v>0.81666666666666665</v>
      </c>
      <c r="N303" t="s">
        <v>43</v>
      </c>
      <c r="O303">
        <v>100</v>
      </c>
      <c r="P303" t="s">
        <v>44</v>
      </c>
      <c r="Q303">
        <v>1</v>
      </c>
      <c r="R303">
        <v>0</v>
      </c>
      <c r="S303">
        <v>0</v>
      </c>
      <c r="T303">
        <v>31.2</v>
      </c>
      <c r="U303">
        <v>15.85</v>
      </c>
      <c r="V303" t="s">
        <v>38</v>
      </c>
      <c r="W303">
        <v>0</v>
      </c>
      <c r="X303" t="s">
        <v>31</v>
      </c>
    </row>
    <row r="304" spans="1:24" x14ac:dyDescent="0.3">
      <c r="A304" t="s">
        <v>356</v>
      </c>
      <c r="B304" t="s">
        <v>25</v>
      </c>
      <c r="C304" s="2">
        <v>45963.46875</v>
      </c>
      <c r="D304" s="2">
        <v>45963.662499999999</v>
      </c>
      <c r="E304">
        <v>4.6500000000000004</v>
      </c>
      <c r="F304">
        <v>73.48</v>
      </c>
      <c r="G304" t="b">
        <v>0</v>
      </c>
      <c r="H304" s="2">
        <v>45963</v>
      </c>
      <c r="I304">
        <v>11</v>
      </c>
      <c r="J304" t="s">
        <v>52</v>
      </c>
      <c r="K304">
        <v>1</v>
      </c>
      <c r="L304" t="s">
        <v>35</v>
      </c>
      <c r="M304">
        <v>4.6500000000000004</v>
      </c>
      <c r="N304" t="s">
        <v>28</v>
      </c>
      <c r="O304">
        <v>70</v>
      </c>
      <c r="P304" t="s">
        <v>29</v>
      </c>
      <c r="Q304">
        <v>1</v>
      </c>
      <c r="R304">
        <v>0</v>
      </c>
      <c r="S304">
        <v>0</v>
      </c>
      <c r="T304">
        <v>26.5</v>
      </c>
      <c r="U304">
        <v>73.48</v>
      </c>
      <c r="V304" t="s">
        <v>30</v>
      </c>
      <c r="W304">
        <v>0</v>
      </c>
      <c r="X304" t="s">
        <v>31</v>
      </c>
    </row>
    <row r="305" spans="1:24" x14ac:dyDescent="0.3">
      <c r="A305" t="s">
        <v>357</v>
      </c>
      <c r="B305" t="s">
        <v>40</v>
      </c>
      <c r="C305" s="2">
        <v>45964.604861111111</v>
      </c>
      <c r="D305" s="2">
        <v>45964.643055555563</v>
      </c>
      <c r="E305">
        <v>0.91666666666666663</v>
      </c>
      <c r="F305">
        <v>14.5</v>
      </c>
      <c r="G305" t="b">
        <v>0</v>
      </c>
      <c r="H305" s="2">
        <v>45964</v>
      </c>
      <c r="I305">
        <v>14</v>
      </c>
      <c r="J305" t="s">
        <v>54</v>
      </c>
      <c r="K305">
        <v>0</v>
      </c>
      <c r="L305" t="s">
        <v>27</v>
      </c>
      <c r="M305">
        <v>0.91666666666666663</v>
      </c>
      <c r="N305" t="s">
        <v>43</v>
      </c>
      <c r="O305">
        <v>100</v>
      </c>
      <c r="P305" t="s">
        <v>44</v>
      </c>
      <c r="Q305">
        <v>0</v>
      </c>
      <c r="R305">
        <v>0</v>
      </c>
      <c r="S305">
        <v>1</v>
      </c>
      <c r="T305">
        <v>33.5</v>
      </c>
      <c r="U305">
        <v>14.5</v>
      </c>
      <c r="V305" t="s">
        <v>38</v>
      </c>
      <c r="W305">
        <v>0</v>
      </c>
      <c r="X305" t="s">
        <v>59</v>
      </c>
    </row>
    <row r="306" spans="1:24" x14ac:dyDescent="0.3">
      <c r="A306" t="s">
        <v>358</v>
      </c>
      <c r="B306" t="s">
        <v>40</v>
      </c>
      <c r="C306" s="2">
        <v>45965.335416666669</v>
      </c>
      <c r="D306" s="2">
        <v>45965.375</v>
      </c>
      <c r="E306">
        <v>0.95</v>
      </c>
      <c r="F306">
        <v>12.21</v>
      </c>
      <c r="G306" t="b">
        <v>0</v>
      </c>
      <c r="H306" s="2">
        <v>45965</v>
      </c>
      <c r="I306">
        <v>8</v>
      </c>
      <c r="J306" t="s">
        <v>56</v>
      </c>
      <c r="K306">
        <v>0</v>
      </c>
      <c r="L306" t="s">
        <v>35</v>
      </c>
      <c r="M306">
        <v>0.95</v>
      </c>
      <c r="N306" t="s">
        <v>43</v>
      </c>
      <c r="O306">
        <v>100</v>
      </c>
      <c r="P306" t="s">
        <v>44</v>
      </c>
      <c r="Q306">
        <v>0</v>
      </c>
      <c r="R306">
        <v>0</v>
      </c>
      <c r="S306">
        <v>0</v>
      </c>
      <c r="T306">
        <v>38.5</v>
      </c>
      <c r="U306">
        <v>12.21</v>
      </c>
      <c r="V306" t="s">
        <v>38</v>
      </c>
      <c r="W306">
        <v>0</v>
      </c>
      <c r="X306" t="s">
        <v>31</v>
      </c>
    </row>
    <row r="307" spans="1:24" x14ac:dyDescent="0.3">
      <c r="A307" t="s">
        <v>359</v>
      </c>
      <c r="B307" t="s">
        <v>47</v>
      </c>
      <c r="C307" s="2">
        <v>45966.450694444437</v>
      </c>
      <c r="D307" s="2">
        <v>45966.484722222223</v>
      </c>
      <c r="E307">
        <v>0.81666666666666665</v>
      </c>
      <c r="F307">
        <v>10.15</v>
      </c>
      <c r="G307" t="b">
        <v>0</v>
      </c>
      <c r="H307" s="2">
        <v>45966</v>
      </c>
      <c r="I307">
        <v>10</v>
      </c>
      <c r="J307" t="s">
        <v>26</v>
      </c>
      <c r="K307">
        <v>0</v>
      </c>
      <c r="L307" t="s">
        <v>35</v>
      </c>
      <c r="M307">
        <v>0.81666666666666665</v>
      </c>
      <c r="N307" t="s">
        <v>49</v>
      </c>
      <c r="O307">
        <v>50</v>
      </c>
      <c r="P307" t="s">
        <v>50</v>
      </c>
      <c r="Q307">
        <v>0</v>
      </c>
      <c r="R307">
        <v>0</v>
      </c>
      <c r="S307">
        <v>0</v>
      </c>
      <c r="T307">
        <v>30.7</v>
      </c>
      <c r="U307">
        <v>10.15</v>
      </c>
      <c r="V307" t="s">
        <v>38</v>
      </c>
      <c r="W307">
        <v>0</v>
      </c>
      <c r="X307" t="s">
        <v>31</v>
      </c>
    </row>
    <row r="308" spans="1:24" x14ac:dyDescent="0.3">
      <c r="A308" t="s">
        <v>360</v>
      </c>
      <c r="B308" t="s">
        <v>61</v>
      </c>
      <c r="C308" s="2">
        <v>45967.879861111112</v>
      </c>
      <c r="D308" s="2">
        <v>45967.894444444442</v>
      </c>
      <c r="E308">
        <v>0.35</v>
      </c>
      <c r="F308">
        <v>10</v>
      </c>
      <c r="G308" t="b">
        <v>0</v>
      </c>
      <c r="H308" s="2">
        <v>45967</v>
      </c>
      <c r="I308">
        <v>21</v>
      </c>
      <c r="J308" t="s">
        <v>34</v>
      </c>
      <c r="K308">
        <v>0</v>
      </c>
      <c r="L308" t="s">
        <v>66</v>
      </c>
      <c r="M308">
        <v>0.35</v>
      </c>
      <c r="N308" t="s">
        <v>62</v>
      </c>
      <c r="O308">
        <v>80</v>
      </c>
      <c r="P308" t="s">
        <v>37</v>
      </c>
      <c r="Q308">
        <v>0</v>
      </c>
      <c r="R308">
        <v>0</v>
      </c>
      <c r="S308">
        <v>0</v>
      </c>
      <c r="T308">
        <v>25.4</v>
      </c>
      <c r="U308">
        <v>10</v>
      </c>
      <c r="V308" t="s">
        <v>45</v>
      </c>
      <c r="W308">
        <v>0</v>
      </c>
      <c r="X308" t="s">
        <v>31</v>
      </c>
    </row>
    <row r="309" spans="1:24" x14ac:dyDescent="0.3">
      <c r="A309" t="s">
        <v>361</v>
      </c>
      <c r="B309" t="s">
        <v>33</v>
      </c>
      <c r="C309" s="2">
        <v>45968.380555555559</v>
      </c>
      <c r="D309" s="2">
        <v>45968.463888888888</v>
      </c>
      <c r="E309">
        <v>2</v>
      </c>
      <c r="F309">
        <v>37.32</v>
      </c>
      <c r="G309" t="b">
        <v>0</v>
      </c>
      <c r="H309" s="2">
        <v>45968</v>
      </c>
      <c r="I309">
        <v>9</v>
      </c>
      <c r="J309" t="s">
        <v>41</v>
      </c>
      <c r="K309">
        <v>0</v>
      </c>
      <c r="L309" t="s">
        <v>35</v>
      </c>
      <c r="M309">
        <v>2</v>
      </c>
      <c r="N309" t="s">
        <v>36</v>
      </c>
      <c r="O309">
        <v>60</v>
      </c>
      <c r="P309" t="s">
        <v>37</v>
      </c>
      <c r="Q309">
        <v>0</v>
      </c>
      <c r="R309">
        <v>0</v>
      </c>
      <c r="S309">
        <v>0</v>
      </c>
      <c r="T309">
        <v>31.3</v>
      </c>
      <c r="U309">
        <v>37.32</v>
      </c>
      <c r="V309" t="s">
        <v>38</v>
      </c>
      <c r="W309">
        <v>0</v>
      </c>
      <c r="X309" t="s">
        <v>31</v>
      </c>
    </row>
    <row r="310" spans="1:24" x14ac:dyDescent="0.3">
      <c r="A310" t="s">
        <v>362</v>
      </c>
      <c r="B310" t="s">
        <v>25</v>
      </c>
      <c r="C310" s="2">
        <v>45969.488888888889</v>
      </c>
      <c r="D310" s="2">
        <v>45969.511111111111</v>
      </c>
      <c r="E310">
        <v>0.53333333333333333</v>
      </c>
      <c r="F310">
        <v>11.4</v>
      </c>
      <c r="G310" t="b">
        <v>0</v>
      </c>
      <c r="H310" s="2">
        <v>45969</v>
      </c>
      <c r="I310">
        <v>11</v>
      </c>
      <c r="J310" t="s">
        <v>48</v>
      </c>
      <c r="K310">
        <v>1</v>
      </c>
      <c r="L310" t="s">
        <v>35</v>
      </c>
      <c r="M310">
        <v>0.53333333333333333</v>
      </c>
      <c r="N310" t="s">
        <v>28</v>
      </c>
      <c r="O310">
        <v>70</v>
      </c>
      <c r="P310" t="s">
        <v>29</v>
      </c>
      <c r="Q310">
        <v>1</v>
      </c>
      <c r="R310">
        <v>0</v>
      </c>
      <c r="S310">
        <v>1</v>
      </c>
      <c r="T310">
        <v>29.4</v>
      </c>
      <c r="U310">
        <v>11.4</v>
      </c>
      <c r="V310" t="s">
        <v>30</v>
      </c>
      <c r="W310">
        <v>0</v>
      </c>
      <c r="X310" t="s">
        <v>59</v>
      </c>
    </row>
    <row r="311" spans="1:24" x14ac:dyDescent="0.3">
      <c r="A311" t="s">
        <v>363</v>
      </c>
      <c r="B311" t="s">
        <v>33</v>
      </c>
      <c r="C311" s="2">
        <v>45970.595833333333</v>
      </c>
      <c r="D311" s="2">
        <v>45970.686805555553</v>
      </c>
      <c r="E311">
        <v>2.1833333333333331</v>
      </c>
      <c r="F311">
        <v>49.93</v>
      </c>
      <c r="G311" t="b">
        <v>0</v>
      </c>
      <c r="H311" s="2">
        <v>45970</v>
      </c>
      <c r="I311">
        <v>14</v>
      </c>
      <c r="J311" t="s">
        <v>52</v>
      </c>
      <c r="K311">
        <v>1</v>
      </c>
      <c r="L311" t="s">
        <v>27</v>
      </c>
      <c r="M311">
        <v>2.1833333333333331</v>
      </c>
      <c r="N311" t="s">
        <v>36</v>
      </c>
      <c r="O311">
        <v>60</v>
      </c>
      <c r="P311" t="s">
        <v>37</v>
      </c>
      <c r="Q311">
        <v>1</v>
      </c>
      <c r="R311">
        <v>0</v>
      </c>
      <c r="S311">
        <v>0</v>
      </c>
      <c r="T311">
        <v>27.4</v>
      </c>
      <c r="U311">
        <v>49.93</v>
      </c>
      <c r="V311" t="s">
        <v>38</v>
      </c>
      <c r="W311">
        <v>0</v>
      </c>
      <c r="X311" t="s">
        <v>31</v>
      </c>
    </row>
    <row r="312" spans="1:24" x14ac:dyDescent="0.3">
      <c r="A312" t="s">
        <v>364</v>
      </c>
      <c r="B312" t="s">
        <v>47</v>
      </c>
      <c r="C312" s="2">
        <v>45971.263888888891</v>
      </c>
      <c r="D312" s="2">
        <v>45971.412499999999</v>
      </c>
      <c r="E312">
        <v>3.5666666666666669</v>
      </c>
      <c r="F312">
        <v>46.2</v>
      </c>
      <c r="G312" t="b">
        <v>0</v>
      </c>
      <c r="H312" s="2">
        <v>45971</v>
      </c>
      <c r="I312">
        <v>6</v>
      </c>
      <c r="J312" t="s">
        <v>54</v>
      </c>
      <c r="K312">
        <v>0</v>
      </c>
      <c r="L312" t="s">
        <v>35</v>
      </c>
      <c r="M312">
        <v>3.5666666666666669</v>
      </c>
      <c r="N312" t="s">
        <v>49</v>
      </c>
      <c r="O312">
        <v>50</v>
      </c>
      <c r="P312" t="s">
        <v>50</v>
      </c>
      <c r="Q312">
        <v>0</v>
      </c>
      <c r="R312">
        <v>0</v>
      </c>
      <c r="S312">
        <v>0</v>
      </c>
      <c r="T312">
        <v>25.6</v>
      </c>
      <c r="U312">
        <v>46.2</v>
      </c>
      <c r="V312" t="s">
        <v>45</v>
      </c>
      <c r="W312">
        <v>0</v>
      </c>
      <c r="X312" t="s">
        <v>31</v>
      </c>
    </row>
    <row r="313" spans="1:24" x14ac:dyDescent="0.3">
      <c r="A313" t="s">
        <v>365</v>
      </c>
      <c r="B313" t="s">
        <v>25</v>
      </c>
      <c r="C313" s="2">
        <v>45972.413194444453</v>
      </c>
      <c r="D313" s="2">
        <v>45972.423611111109</v>
      </c>
      <c r="E313">
        <v>0.25</v>
      </c>
      <c r="F313">
        <v>14.01</v>
      </c>
      <c r="G313" t="b">
        <v>0</v>
      </c>
      <c r="H313" s="2">
        <v>45972</v>
      </c>
      <c r="I313">
        <v>9</v>
      </c>
      <c r="J313" t="s">
        <v>56</v>
      </c>
      <c r="K313">
        <v>0</v>
      </c>
      <c r="L313" t="s">
        <v>35</v>
      </c>
      <c r="M313">
        <v>0.25</v>
      </c>
      <c r="N313" t="s">
        <v>28</v>
      </c>
      <c r="O313">
        <v>70</v>
      </c>
      <c r="P313" t="s">
        <v>29</v>
      </c>
      <c r="Q313">
        <v>0</v>
      </c>
      <c r="R313">
        <v>0</v>
      </c>
      <c r="S313">
        <v>0</v>
      </c>
      <c r="T313">
        <v>24.8</v>
      </c>
      <c r="U313">
        <v>14.01</v>
      </c>
      <c r="V313" t="s">
        <v>38</v>
      </c>
      <c r="W313">
        <v>0</v>
      </c>
      <c r="X313" t="s">
        <v>31</v>
      </c>
    </row>
    <row r="314" spans="1:24" x14ac:dyDescent="0.3">
      <c r="A314" t="s">
        <v>366</v>
      </c>
      <c r="B314" t="s">
        <v>33</v>
      </c>
      <c r="C314" s="2">
        <v>45973.59375</v>
      </c>
      <c r="D314" s="2">
        <v>45973.711111111108</v>
      </c>
      <c r="E314">
        <v>2.8166666666666669</v>
      </c>
      <c r="F314">
        <v>46.18</v>
      </c>
      <c r="G314" t="b">
        <v>0</v>
      </c>
      <c r="H314" s="2">
        <v>45973</v>
      </c>
      <c r="I314">
        <v>14</v>
      </c>
      <c r="J314" t="s">
        <v>26</v>
      </c>
      <c r="K314">
        <v>0</v>
      </c>
      <c r="L314" t="s">
        <v>27</v>
      </c>
      <c r="M314">
        <v>2.8166666666666669</v>
      </c>
      <c r="N314" t="s">
        <v>36</v>
      </c>
      <c r="O314">
        <v>60</v>
      </c>
      <c r="P314" t="s">
        <v>37</v>
      </c>
      <c r="Q314">
        <v>0</v>
      </c>
      <c r="R314">
        <v>0</v>
      </c>
      <c r="S314">
        <v>0</v>
      </c>
      <c r="T314">
        <v>33.5</v>
      </c>
      <c r="U314">
        <v>46.18</v>
      </c>
      <c r="V314" t="s">
        <v>45</v>
      </c>
      <c r="W314">
        <v>0</v>
      </c>
      <c r="X314" t="s">
        <v>31</v>
      </c>
    </row>
    <row r="315" spans="1:24" x14ac:dyDescent="0.3">
      <c r="A315" t="s">
        <v>367</v>
      </c>
      <c r="B315" t="s">
        <v>61</v>
      </c>
      <c r="C315" s="2">
        <v>45974.31527777778</v>
      </c>
      <c r="D315" s="2">
        <v>45974.472916666673</v>
      </c>
      <c r="E315">
        <v>3.7833333333333332</v>
      </c>
      <c r="F315">
        <v>54.19</v>
      </c>
      <c r="G315" t="b">
        <v>0</v>
      </c>
      <c r="H315" s="2">
        <v>45974</v>
      </c>
      <c r="I315">
        <v>7</v>
      </c>
      <c r="J315" t="s">
        <v>34</v>
      </c>
      <c r="K315">
        <v>0</v>
      </c>
      <c r="L315" t="s">
        <v>35</v>
      </c>
      <c r="M315">
        <v>3.7833333333333332</v>
      </c>
      <c r="N315" t="s">
        <v>62</v>
      </c>
      <c r="O315">
        <v>80</v>
      </c>
      <c r="P315" t="s">
        <v>37</v>
      </c>
      <c r="Q315">
        <v>0</v>
      </c>
      <c r="R315">
        <v>0</v>
      </c>
      <c r="S315">
        <v>1</v>
      </c>
      <c r="T315">
        <v>29.9</v>
      </c>
      <c r="U315">
        <v>54.19</v>
      </c>
      <c r="V315" t="s">
        <v>38</v>
      </c>
      <c r="W315">
        <v>0</v>
      </c>
      <c r="X315" t="s">
        <v>59</v>
      </c>
    </row>
    <row r="316" spans="1:24" x14ac:dyDescent="0.3">
      <c r="A316" t="s">
        <v>368</v>
      </c>
      <c r="B316" t="s">
        <v>61</v>
      </c>
      <c r="C316" s="2">
        <v>45975.770833333343</v>
      </c>
      <c r="D316" s="2">
        <v>45975.79583333333</v>
      </c>
      <c r="E316">
        <v>0.6</v>
      </c>
      <c r="F316">
        <v>10</v>
      </c>
      <c r="G316" t="b">
        <v>0</v>
      </c>
      <c r="H316" s="2">
        <v>45975</v>
      </c>
      <c r="I316">
        <v>18</v>
      </c>
      <c r="J316" t="s">
        <v>41</v>
      </c>
      <c r="K316">
        <v>0</v>
      </c>
      <c r="L316" t="s">
        <v>42</v>
      </c>
      <c r="M316">
        <v>0.6</v>
      </c>
      <c r="N316" t="s">
        <v>62</v>
      </c>
      <c r="O316">
        <v>80</v>
      </c>
      <c r="P316" t="s">
        <v>37</v>
      </c>
      <c r="Q316">
        <v>0</v>
      </c>
      <c r="R316">
        <v>0</v>
      </c>
      <c r="S316">
        <v>0</v>
      </c>
      <c r="T316">
        <v>31.8</v>
      </c>
      <c r="U316">
        <v>10</v>
      </c>
      <c r="V316" t="s">
        <v>38</v>
      </c>
      <c r="W316">
        <v>0</v>
      </c>
      <c r="X316" t="s">
        <v>31</v>
      </c>
    </row>
    <row r="317" spans="1:24" x14ac:dyDescent="0.3">
      <c r="A317" t="s">
        <v>369</v>
      </c>
      <c r="B317" t="s">
        <v>61</v>
      </c>
      <c r="C317" s="2">
        <v>45976.260416666657</v>
      </c>
      <c r="D317" s="2">
        <v>45976.398611111108</v>
      </c>
      <c r="E317">
        <v>3.3166666666666669</v>
      </c>
      <c r="F317">
        <v>52.22</v>
      </c>
      <c r="G317" t="b">
        <v>0</v>
      </c>
      <c r="H317" s="2">
        <v>45976</v>
      </c>
      <c r="I317">
        <v>6</v>
      </c>
      <c r="J317" t="s">
        <v>48</v>
      </c>
      <c r="K317">
        <v>1</v>
      </c>
      <c r="L317" t="s">
        <v>35</v>
      </c>
      <c r="M317">
        <v>3.3166666666666669</v>
      </c>
      <c r="N317" t="s">
        <v>62</v>
      </c>
      <c r="O317">
        <v>80</v>
      </c>
      <c r="P317" t="s">
        <v>37</v>
      </c>
      <c r="Q317">
        <v>1</v>
      </c>
      <c r="R317">
        <v>0</v>
      </c>
      <c r="S317">
        <v>0</v>
      </c>
      <c r="T317">
        <v>26.7</v>
      </c>
      <c r="U317">
        <v>52.22</v>
      </c>
      <c r="V317" t="s">
        <v>38</v>
      </c>
      <c r="W317">
        <v>0</v>
      </c>
      <c r="X317" t="s">
        <v>31</v>
      </c>
    </row>
    <row r="318" spans="1:24" x14ac:dyDescent="0.3">
      <c r="A318" t="s">
        <v>370</v>
      </c>
      <c r="B318" t="s">
        <v>25</v>
      </c>
      <c r="C318" s="2">
        <v>45977.26458333333</v>
      </c>
      <c r="D318" s="2">
        <v>45977.40625</v>
      </c>
      <c r="E318">
        <v>3.4</v>
      </c>
      <c r="F318">
        <v>52.89</v>
      </c>
      <c r="G318" t="b">
        <v>0</v>
      </c>
      <c r="H318" s="2">
        <v>45977</v>
      </c>
      <c r="I318">
        <v>6</v>
      </c>
      <c r="J318" t="s">
        <v>52</v>
      </c>
      <c r="K318">
        <v>1</v>
      </c>
      <c r="L318" t="s">
        <v>35</v>
      </c>
      <c r="M318">
        <v>3.4</v>
      </c>
      <c r="N318" t="s">
        <v>28</v>
      </c>
      <c r="O318">
        <v>70</v>
      </c>
      <c r="P318" t="s">
        <v>29</v>
      </c>
      <c r="Q318">
        <v>1</v>
      </c>
      <c r="R318">
        <v>0</v>
      </c>
      <c r="S318">
        <v>0</v>
      </c>
      <c r="T318">
        <v>34.5</v>
      </c>
      <c r="U318">
        <v>52.89</v>
      </c>
      <c r="V318" t="s">
        <v>30</v>
      </c>
      <c r="W318">
        <v>0</v>
      </c>
      <c r="X318" t="s">
        <v>31</v>
      </c>
    </row>
    <row r="319" spans="1:24" x14ac:dyDescent="0.3">
      <c r="A319" t="s">
        <v>371</v>
      </c>
      <c r="B319" t="s">
        <v>25</v>
      </c>
      <c r="C319" s="2">
        <v>45978.367361111108</v>
      </c>
      <c r="D319" s="2">
        <v>45978.53402777778</v>
      </c>
      <c r="E319">
        <v>4</v>
      </c>
      <c r="F319">
        <v>67.849999999999994</v>
      </c>
      <c r="G319" t="b">
        <v>0</v>
      </c>
      <c r="H319" s="2">
        <v>45978</v>
      </c>
      <c r="I319">
        <v>8</v>
      </c>
      <c r="J319" t="s">
        <v>54</v>
      </c>
      <c r="K319">
        <v>0</v>
      </c>
      <c r="L319" t="s">
        <v>35</v>
      </c>
      <c r="M319">
        <v>4</v>
      </c>
      <c r="N319" t="s">
        <v>28</v>
      </c>
      <c r="O319">
        <v>70</v>
      </c>
      <c r="P319" t="s">
        <v>29</v>
      </c>
      <c r="Q319">
        <v>0</v>
      </c>
      <c r="R319">
        <v>0</v>
      </c>
      <c r="S319">
        <v>1</v>
      </c>
      <c r="T319">
        <v>29</v>
      </c>
      <c r="U319">
        <v>67.849999999999994</v>
      </c>
      <c r="V319" t="s">
        <v>38</v>
      </c>
      <c r="W319">
        <v>0</v>
      </c>
      <c r="X319" t="s">
        <v>59</v>
      </c>
    </row>
    <row r="320" spans="1:24" x14ac:dyDescent="0.3">
      <c r="A320" t="s">
        <v>372</v>
      </c>
      <c r="B320" t="s">
        <v>47</v>
      </c>
      <c r="C320" s="2">
        <v>45979.541666666657</v>
      </c>
      <c r="D320" s="2">
        <v>45979.632638888892</v>
      </c>
      <c r="E320">
        <v>2.1833333333333331</v>
      </c>
      <c r="F320">
        <v>35.51</v>
      </c>
      <c r="G320" t="b">
        <v>0</v>
      </c>
      <c r="H320" s="2">
        <v>45979</v>
      </c>
      <c r="I320">
        <v>13</v>
      </c>
      <c r="J320" t="s">
        <v>56</v>
      </c>
      <c r="K320">
        <v>0</v>
      </c>
      <c r="L320" t="s">
        <v>27</v>
      </c>
      <c r="M320">
        <v>2.1833333333333331</v>
      </c>
      <c r="N320" t="s">
        <v>49</v>
      </c>
      <c r="O320">
        <v>50</v>
      </c>
      <c r="P320" t="s">
        <v>50</v>
      </c>
      <c r="Q320">
        <v>0</v>
      </c>
      <c r="R320">
        <v>0</v>
      </c>
      <c r="S320">
        <v>0</v>
      </c>
      <c r="T320">
        <v>27</v>
      </c>
      <c r="U320">
        <v>35.51</v>
      </c>
      <c r="V320" t="s">
        <v>30</v>
      </c>
      <c r="W320">
        <v>0</v>
      </c>
      <c r="X320" t="s">
        <v>31</v>
      </c>
    </row>
    <row r="321" spans="1:24" x14ac:dyDescent="0.3">
      <c r="A321" t="s">
        <v>373</v>
      </c>
      <c r="B321" t="s">
        <v>40</v>
      </c>
      <c r="C321" s="2">
        <v>45980.587500000001</v>
      </c>
      <c r="D321" s="2">
        <v>45980.875694444447</v>
      </c>
      <c r="E321">
        <v>6.916666666666667</v>
      </c>
      <c r="F321">
        <v>96.54</v>
      </c>
      <c r="G321" t="b">
        <v>0</v>
      </c>
      <c r="H321" s="2">
        <v>45980</v>
      </c>
      <c r="I321">
        <v>14</v>
      </c>
      <c r="J321" t="s">
        <v>26</v>
      </c>
      <c r="K321">
        <v>0</v>
      </c>
      <c r="L321" t="s">
        <v>27</v>
      </c>
      <c r="M321">
        <v>6.916666666666667</v>
      </c>
      <c r="N321" t="s">
        <v>43</v>
      </c>
      <c r="O321">
        <v>100</v>
      </c>
      <c r="P321" t="s">
        <v>44</v>
      </c>
      <c r="Q321">
        <v>0</v>
      </c>
      <c r="R321">
        <v>0</v>
      </c>
      <c r="S321">
        <v>0</v>
      </c>
      <c r="T321">
        <v>27.6</v>
      </c>
      <c r="U321">
        <v>96.54</v>
      </c>
      <c r="V321" t="s">
        <v>38</v>
      </c>
      <c r="W321">
        <v>0</v>
      </c>
      <c r="X321" t="s">
        <v>31</v>
      </c>
    </row>
    <row r="322" spans="1:24" x14ac:dyDescent="0.3">
      <c r="A322" t="s">
        <v>374</v>
      </c>
      <c r="B322" t="s">
        <v>47</v>
      </c>
      <c r="C322" s="2">
        <v>45981.720833333333</v>
      </c>
      <c r="D322" s="2">
        <v>45981.734722222223</v>
      </c>
      <c r="E322">
        <v>0.33333333333333331</v>
      </c>
      <c r="F322">
        <v>10</v>
      </c>
      <c r="G322" t="b">
        <v>0</v>
      </c>
      <c r="H322" s="2">
        <v>45981</v>
      </c>
      <c r="I322">
        <v>17</v>
      </c>
      <c r="J322" t="s">
        <v>34</v>
      </c>
      <c r="K322">
        <v>0</v>
      </c>
      <c r="L322" t="s">
        <v>42</v>
      </c>
      <c r="M322">
        <v>0.33333333333333331</v>
      </c>
      <c r="N322" t="s">
        <v>49</v>
      </c>
      <c r="O322">
        <v>50</v>
      </c>
      <c r="P322" t="s">
        <v>50</v>
      </c>
      <c r="Q322">
        <v>0</v>
      </c>
      <c r="R322">
        <v>0</v>
      </c>
      <c r="S322">
        <v>1</v>
      </c>
      <c r="T322">
        <v>29.3</v>
      </c>
      <c r="U322">
        <v>10</v>
      </c>
      <c r="V322" t="s">
        <v>30</v>
      </c>
      <c r="W322">
        <v>0</v>
      </c>
      <c r="X322" t="s">
        <v>59</v>
      </c>
    </row>
    <row r="323" spans="1:24" x14ac:dyDescent="0.3">
      <c r="A323" t="s">
        <v>375</v>
      </c>
      <c r="B323" t="s">
        <v>61</v>
      </c>
      <c r="C323" s="2">
        <v>45982.288888888892</v>
      </c>
      <c r="D323" s="2">
        <v>45982.385416666657</v>
      </c>
      <c r="E323">
        <v>2.3166666666666669</v>
      </c>
      <c r="F323">
        <v>40.729999999999997</v>
      </c>
      <c r="G323" t="b">
        <v>0</v>
      </c>
      <c r="H323" s="2">
        <v>45982</v>
      </c>
      <c r="I323">
        <v>6</v>
      </c>
      <c r="J323" t="s">
        <v>41</v>
      </c>
      <c r="K323">
        <v>0</v>
      </c>
      <c r="L323" t="s">
        <v>35</v>
      </c>
      <c r="M323">
        <v>2.3166666666666669</v>
      </c>
      <c r="N323" t="s">
        <v>62</v>
      </c>
      <c r="O323">
        <v>80</v>
      </c>
      <c r="P323" t="s">
        <v>37</v>
      </c>
      <c r="Q323">
        <v>0</v>
      </c>
      <c r="R323">
        <v>0</v>
      </c>
      <c r="S323">
        <v>1</v>
      </c>
      <c r="T323">
        <v>28.3</v>
      </c>
      <c r="U323">
        <v>40.729999999999997</v>
      </c>
      <c r="V323" t="s">
        <v>30</v>
      </c>
      <c r="W323">
        <v>0</v>
      </c>
      <c r="X323" t="s">
        <v>59</v>
      </c>
    </row>
    <row r="324" spans="1:24" x14ac:dyDescent="0.3">
      <c r="A324" t="s">
        <v>376</v>
      </c>
      <c r="B324" t="s">
        <v>40</v>
      </c>
      <c r="C324" s="2">
        <v>45983.709722222222</v>
      </c>
      <c r="D324" s="2">
        <v>45983.739583333343</v>
      </c>
      <c r="E324">
        <v>0.71666666666666667</v>
      </c>
      <c r="F324">
        <v>12.91</v>
      </c>
      <c r="G324" t="b">
        <v>0</v>
      </c>
      <c r="H324" s="2">
        <v>45983</v>
      </c>
      <c r="I324">
        <v>17</v>
      </c>
      <c r="J324" t="s">
        <v>48</v>
      </c>
      <c r="K324">
        <v>1</v>
      </c>
      <c r="L324" t="s">
        <v>42</v>
      </c>
      <c r="M324">
        <v>0.71666666666666667</v>
      </c>
      <c r="N324" t="s">
        <v>43</v>
      </c>
      <c r="O324">
        <v>100</v>
      </c>
      <c r="P324" t="s">
        <v>44</v>
      </c>
      <c r="Q324">
        <v>1</v>
      </c>
      <c r="R324">
        <v>0</v>
      </c>
      <c r="S324">
        <v>0</v>
      </c>
      <c r="T324">
        <v>26.7</v>
      </c>
      <c r="U324">
        <v>12.91</v>
      </c>
      <c r="V324" t="s">
        <v>45</v>
      </c>
      <c r="W324">
        <v>0</v>
      </c>
      <c r="X324" t="s">
        <v>31</v>
      </c>
    </row>
    <row r="325" spans="1:24" x14ac:dyDescent="0.3">
      <c r="A325" t="s">
        <v>377</v>
      </c>
      <c r="B325" t="s">
        <v>33</v>
      </c>
      <c r="C325" s="2">
        <v>45984.62222222222</v>
      </c>
      <c r="D325" s="2">
        <v>45984.634027777778</v>
      </c>
      <c r="E325">
        <v>0.28333333333333333</v>
      </c>
      <c r="F325">
        <v>10</v>
      </c>
      <c r="G325" t="b">
        <v>0</v>
      </c>
      <c r="H325" s="2">
        <v>45984</v>
      </c>
      <c r="I325">
        <v>14</v>
      </c>
      <c r="J325" t="s">
        <v>52</v>
      </c>
      <c r="K325">
        <v>1</v>
      </c>
      <c r="L325" t="s">
        <v>27</v>
      </c>
      <c r="M325">
        <v>0.28333333333333333</v>
      </c>
      <c r="N325" t="s">
        <v>36</v>
      </c>
      <c r="O325">
        <v>60</v>
      </c>
      <c r="P325" t="s">
        <v>37</v>
      </c>
      <c r="Q325">
        <v>1</v>
      </c>
      <c r="R325">
        <v>0</v>
      </c>
      <c r="S325">
        <v>0</v>
      </c>
      <c r="T325">
        <v>30.4</v>
      </c>
      <c r="U325">
        <v>10</v>
      </c>
      <c r="V325" t="s">
        <v>30</v>
      </c>
      <c r="W325">
        <v>0</v>
      </c>
      <c r="X325" t="s">
        <v>31</v>
      </c>
    </row>
    <row r="326" spans="1:24" x14ac:dyDescent="0.3">
      <c r="A326" t="s">
        <v>378</v>
      </c>
      <c r="B326" t="s">
        <v>33</v>
      </c>
      <c r="C326" s="2">
        <v>45985.795138888891</v>
      </c>
      <c r="D326" s="2">
        <v>45985.868750000001</v>
      </c>
      <c r="E326">
        <v>1.7666666666666671</v>
      </c>
      <c r="F326">
        <v>24.86</v>
      </c>
      <c r="G326" t="b">
        <v>0</v>
      </c>
      <c r="H326" s="2">
        <v>45985</v>
      </c>
      <c r="I326">
        <v>19</v>
      </c>
      <c r="J326" t="s">
        <v>54</v>
      </c>
      <c r="K326">
        <v>0</v>
      </c>
      <c r="L326" t="s">
        <v>42</v>
      </c>
      <c r="M326">
        <v>1.7666666666666671</v>
      </c>
      <c r="N326" t="s">
        <v>36</v>
      </c>
      <c r="O326">
        <v>60</v>
      </c>
      <c r="P326" t="s">
        <v>37</v>
      </c>
      <c r="Q326">
        <v>0</v>
      </c>
      <c r="R326">
        <v>0</v>
      </c>
      <c r="S326">
        <v>1</v>
      </c>
      <c r="T326">
        <v>28.2</v>
      </c>
      <c r="U326">
        <v>24.86</v>
      </c>
      <c r="V326" t="s">
        <v>38</v>
      </c>
      <c r="W326">
        <v>0</v>
      </c>
      <c r="X326" t="s">
        <v>59</v>
      </c>
    </row>
    <row r="327" spans="1:24" x14ac:dyDescent="0.3">
      <c r="A327" t="s">
        <v>379</v>
      </c>
      <c r="B327" t="s">
        <v>61</v>
      </c>
      <c r="C327" s="2">
        <v>45986.507638888892</v>
      </c>
      <c r="D327" s="2">
        <v>45986.601388888892</v>
      </c>
      <c r="E327">
        <v>2.25</v>
      </c>
      <c r="F327">
        <v>36.409999999999997</v>
      </c>
      <c r="G327" t="b">
        <v>0</v>
      </c>
      <c r="H327" s="2">
        <v>45986</v>
      </c>
      <c r="I327">
        <v>12</v>
      </c>
      <c r="J327" t="s">
        <v>56</v>
      </c>
      <c r="K327">
        <v>0</v>
      </c>
      <c r="L327" t="s">
        <v>27</v>
      </c>
      <c r="M327">
        <v>2.25</v>
      </c>
      <c r="N327" t="s">
        <v>62</v>
      </c>
      <c r="O327">
        <v>80</v>
      </c>
      <c r="P327" t="s">
        <v>37</v>
      </c>
      <c r="Q327">
        <v>0</v>
      </c>
      <c r="R327">
        <v>0</v>
      </c>
      <c r="S327">
        <v>0</v>
      </c>
      <c r="T327">
        <v>35.200000000000003</v>
      </c>
      <c r="U327">
        <v>36.409999999999997</v>
      </c>
      <c r="V327" t="s">
        <v>45</v>
      </c>
      <c r="W327">
        <v>0</v>
      </c>
      <c r="X327" t="s">
        <v>31</v>
      </c>
    </row>
    <row r="328" spans="1:24" x14ac:dyDescent="0.3">
      <c r="A328" t="s">
        <v>380</v>
      </c>
      <c r="B328" t="s">
        <v>61</v>
      </c>
      <c r="C328" s="2">
        <v>45987.477777777778</v>
      </c>
      <c r="D328" s="2">
        <v>45987.536805555559</v>
      </c>
      <c r="E328">
        <v>1.416666666666667</v>
      </c>
      <c r="F328">
        <v>30.38</v>
      </c>
      <c r="G328" t="b">
        <v>0</v>
      </c>
      <c r="H328" s="2">
        <v>45987</v>
      </c>
      <c r="I328">
        <v>11</v>
      </c>
      <c r="J328" t="s">
        <v>26</v>
      </c>
      <c r="K328">
        <v>0</v>
      </c>
      <c r="L328" t="s">
        <v>35</v>
      </c>
      <c r="M328">
        <v>1.416666666666667</v>
      </c>
      <c r="N328" t="s">
        <v>62</v>
      </c>
      <c r="O328">
        <v>80</v>
      </c>
      <c r="P328" t="s">
        <v>37</v>
      </c>
      <c r="Q328">
        <v>0</v>
      </c>
      <c r="R328">
        <v>0</v>
      </c>
      <c r="S328">
        <v>0</v>
      </c>
      <c r="T328">
        <v>36.1</v>
      </c>
      <c r="U328">
        <v>30.38</v>
      </c>
      <c r="V328" t="s">
        <v>38</v>
      </c>
      <c r="W328">
        <v>0</v>
      </c>
      <c r="X328" t="s">
        <v>31</v>
      </c>
    </row>
    <row r="329" spans="1:24" x14ac:dyDescent="0.3">
      <c r="A329" t="s">
        <v>381</v>
      </c>
      <c r="B329" t="s">
        <v>61</v>
      </c>
      <c r="C329" s="2">
        <v>45988.623611111107</v>
      </c>
      <c r="D329" s="2">
        <v>45988.732638888891</v>
      </c>
      <c r="E329">
        <v>2.6166666666666671</v>
      </c>
      <c r="F329">
        <v>38.26</v>
      </c>
      <c r="G329" t="b">
        <v>0</v>
      </c>
      <c r="H329" s="2">
        <v>45988</v>
      </c>
      <c r="I329">
        <v>14</v>
      </c>
      <c r="J329" t="s">
        <v>34</v>
      </c>
      <c r="K329">
        <v>0</v>
      </c>
      <c r="L329" t="s">
        <v>27</v>
      </c>
      <c r="M329">
        <v>2.6166666666666671</v>
      </c>
      <c r="N329" t="s">
        <v>62</v>
      </c>
      <c r="O329">
        <v>80</v>
      </c>
      <c r="P329" t="s">
        <v>37</v>
      </c>
      <c r="Q329">
        <v>0</v>
      </c>
      <c r="R329">
        <v>0</v>
      </c>
      <c r="S329">
        <v>0</v>
      </c>
      <c r="T329">
        <v>36.1</v>
      </c>
      <c r="U329">
        <v>38.26</v>
      </c>
      <c r="V329" t="s">
        <v>30</v>
      </c>
      <c r="W329">
        <v>0</v>
      </c>
      <c r="X329" t="s">
        <v>31</v>
      </c>
    </row>
    <row r="330" spans="1:24" x14ac:dyDescent="0.3">
      <c r="A330" t="s">
        <v>382</v>
      </c>
      <c r="B330" t="s">
        <v>25</v>
      </c>
      <c r="C330" s="2">
        <v>45989.625694444447</v>
      </c>
      <c r="D330" s="2">
        <v>45989.713888888888</v>
      </c>
      <c r="E330">
        <v>2.1166666666666671</v>
      </c>
      <c r="F330">
        <v>44.46</v>
      </c>
      <c r="G330" t="b">
        <v>0</v>
      </c>
      <c r="H330" s="2">
        <v>45989</v>
      </c>
      <c r="I330">
        <v>15</v>
      </c>
      <c r="J330" t="s">
        <v>41</v>
      </c>
      <c r="K330">
        <v>0</v>
      </c>
      <c r="L330" t="s">
        <v>27</v>
      </c>
      <c r="M330">
        <v>2.1166666666666671</v>
      </c>
      <c r="N330" t="s">
        <v>28</v>
      </c>
      <c r="O330">
        <v>70</v>
      </c>
      <c r="P330" t="s">
        <v>29</v>
      </c>
      <c r="Q330">
        <v>0</v>
      </c>
      <c r="R330">
        <v>0</v>
      </c>
      <c r="S330">
        <v>0</v>
      </c>
      <c r="T330">
        <v>34.200000000000003</v>
      </c>
      <c r="U330">
        <v>44.46</v>
      </c>
      <c r="V330" t="s">
        <v>38</v>
      </c>
      <c r="W330">
        <v>0</v>
      </c>
      <c r="X330" t="s">
        <v>31</v>
      </c>
    </row>
    <row r="331" spans="1:24" x14ac:dyDescent="0.3">
      <c r="A331" t="s">
        <v>383</v>
      </c>
      <c r="B331" t="s">
        <v>33</v>
      </c>
      <c r="C331" s="2">
        <v>45990.586805555547</v>
      </c>
      <c r="D331" s="2">
        <v>45990.618055555547</v>
      </c>
      <c r="E331">
        <v>0.75</v>
      </c>
      <c r="F331">
        <v>13.83</v>
      </c>
      <c r="G331" t="b">
        <v>0</v>
      </c>
      <c r="H331" s="2">
        <v>45990</v>
      </c>
      <c r="I331">
        <v>14</v>
      </c>
      <c r="J331" t="s">
        <v>48</v>
      </c>
      <c r="K331">
        <v>1</v>
      </c>
      <c r="L331" t="s">
        <v>27</v>
      </c>
      <c r="M331">
        <v>0.75</v>
      </c>
      <c r="N331" t="s">
        <v>36</v>
      </c>
      <c r="O331">
        <v>60</v>
      </c>
      <c r="P331" t="s">
        <v>37</v>
      </c>
      <c r="Q331">
        <v>1</v>
      </c>
      <c r="R331">
        <v>0</v>
      </c>
      <c r="S331">
        <v>0</v>
      </c>
      <c r="T331">
        <v>28.5</v>
      </c>
      <c r="U331">
        <v>13.83</v>
      </c>
      <c r="V331" t="s">
        <v>45</v>
      </c>
      <c r="W331">
        <v>0</v>
      </c>
      <c r="X331" t="s">
        <v>31</v>
      </c>
    </row>
    <row r="332" spans="1:24" x14ac:dyDescent="0.3">
      <c r="A332" t="s">
        <v>384</v>
      </c>
      <c r="B332" t="s">
        <v>61</v>
      </c>
      <c r="C332" s="2">
        <v>45991.609027777777</v>
      </c>
      <c r="D332" s="2">
        <v>45991.643055555563</v>
      </c>
      <c r="E332">
        <v>0.81666666666666665</v>
      </c>
      <c r="F332">
        <v>12.83</v>
      </c>
      <c r="G332" t="b">
        <v>0</v>
      </c>
      <c r="H332" s="2">
        <v>45991</v>
      </c>
      <c r="I332">
        <v>14</v>
      </c>
      <c r="J332" t="s">
        <v>52</v>
      </c>
      <c r="K332">
        <v>1</v>
      </c>
      <c r="L332" t="s">
        <v>27</v>
      </c>
      <c r="M332">
        <v>0.81666666666666665</v>
      </c>
      <c r="N332" t="s">
        <v>62</v>
      </c>
      <c r="O332">
        <v>80</v>
      </c>
      <c r="P332" t="s">
        <v>37</v>
      </c>
      <c r="Q332">
        <v>1</v>
      </c>
      <c r="R332">
        <v>0</v>
      </c>
      <c r="S332">
        <v>0</v>
      </c>
      <c r="T332">
        <v>25.1</v>
      </c>
      <c r="U332">
        <v>12.83</v>
      </c>
      <c r="V332" t="s">
        <v>38</v>
      </c>
      <c r="W332">
        <v>0</v>
      </c>
      <c r="X332" t="s">
        <v>31</v>
      </c>
    </row>
    <row r="333" spans="1:24" x14ac:dyDescent="0.3">
      <c r="A333" t="s">
        <v>385</v>
      </c>
      <c r="B333" t="s">
        <v>33</v>
      </c>
      <c r="C333" s="2">
        <v>45992.326388888891</v>
      </c>
      <c r="D333" s="2">
        <v>45992.436111111107</v>
      </c>
      <c r="E333">
        <v>2.6333333333333329</v>
      </c>
      <c r="F333">
        <v>38.770000000000003</v>
      </c>
      <c r="G333" t="b">
        <v>0</v>
      </c>
      <c r="H333" s="2">
        <v>45992</v>
      </c>
      <c r="I333">
        <v>7</v>
      </c>
      <c r="J333" t="s">
        <v>54</v>
      </c>
      <c r="K333">
        <v>0</v>
      </c>
      <c r="L333" t="s">
        <v>35</v>
      </c>
      <c r="M333">
        <v>2.6333333333333329</v>
      </c>
      <c r="N333" t="s">
        <v>36</v>
      </c>
      <c r="O333">
        <v>60</v>
      </c>
      <c r="P333" t="s">
        <v>37</v>
      </c>
      <c r="Q333">
        <v>0</v>
      </c>
      <c r="R333">
        <v>0</v>
      </c>
      <c r="S333">
        <v>0</v>
      </c>
      <c r="T333">
        <v>27.3</v>
      </c>
      <c r="U333">
        <v>38.770000000000003</v>
      </c>
      <c r="V333" t="s">
        <v>38</v>
      </c>
      <c r="W333">
        <v>0</v>
      </c>
      <c r="X333" t="s">
        <v>31</v>
      </c>
    </row>
    <row r="334" spans="1:24" x14ac:dyDescent="0.3">
      <c r="A334" t="s">
        <v>386</v>
      </c>
      <c r="B334" t="s">
        <v>61</v>
      </c>
      <c r="C334" s="2">
        <v>45993.499305555553</v>
      </c>
      <c r="F334">
        <v>44.15</v>
      </c>
      <c r="G334" t="b">
        <v>1</v>
      </c>
      <c r="H334" s="2">
        <v>45993</v>
      </c>
      <c r="I334">
        <v>11</v>
      </c>
      <c r="J334" t="s">
        <v>56</v>
      </c>
      <c r="K334">
        <v>0</v>
      </c>
      <c r="L334" t="s">
        <v>35</v>
      </c>
      <c r="N334" t="s">
        <v>62</v>
      </c>
      <c r="O334">
        <v>80</v>
      </c>
      <c r="P334" t="s">
        <v>37</v>
      </c>
      <c r="Q334">
        <v>0</v>
      </c>
      <c r="R334">
        <v>0</v>
      </c>
      <c r="S334">
        <v>1</v>
      </c>
      <c r="T334">
        <v>29.2</v>
      </c>
      <c r="U334">
        <v>44.15</v>
      </c>
      <c r="V334" t="s">
        <v>38</v>
      </c>
      <c r="W334">
        <v>0</v>
      </c>
      <c r="X334" t="s">
        <v>59</v>
      </c>
    </row>
    <row r="335" spans="1:24" x14ac:dyDescent="0.3">
      <c r="A335" t="s">
        <v>387</v>
      </c>
      <c r="B335" t="s">
        <v>61</v>
      </c>
      <c r="C335" s="2">
        <v>45994.931250000001</v>
      </c>
      <c r="D335" s="2">
        <v>45995.010416666657</v>
      </c>
      <c r="E335">
        <v>1.9</v>
      </c>
      <c r="F335">
        <v>24.97</v>
      </c>
      <c r="G335" t="b">
        <v>0</v>
      </c>
      <c r="H335" s="2">
        <v>45994</v>
      </c>
      <c r="I335">
        <v>22</v>
      </c>
      <c r="J335" t="s">
        <v>26</v>
      </c>
      <c r="K335">
        <v>0</v>
      </c>
      <c r="L335" t="s">
        <v>66</v>
      </c>
      <c r="M335">
        <v>1.9</v>
      </c>
      <c r="N335" t="s">
        <v>62</v>
      </c>
      <c r="O335">
        <v>80</v>
      </c>
      <c r="P335" t="s">
        <v>37</v>
      </c>
      <c r="Q335">
        <v>0</v>
      </c>
      <c r="R335">
        <v>0</v>
      </c>
      <c r="S335">
        <v>0</v>
      </c>
      <c r="T335">
        <v>29.2</v>
      </c>
      <c r="U335">
        <v>24.97</v>
      </c>
      <c r="V335" t="s">
        <v>30</v>
      </c>
      <c r="W335">
        <v>0</v>
      </c>
      <c r="X335" t="s">
        <v>31</v>
      </c>
    </row>
    <row r="336" spans="1:24" x14ac:dyDescent="0.3">
      <c r="A336" t="s">
        <v>388</v>
      </c>
      <c r="B336" t="s">
        <v>61</v>
      </c>
      <c r="C336" s="2">
        <v>45995.46875</v>
      </c>
      <c r="D336" s="2">
        <v>45995.593055555553</v>
      </c>
      <c r="E336">
        <v>2.9833333333333329</v>
      </c>
      <c r="F336">
        <v>39.909999999999997</v>
      </c>
      <c r="G336" t="b">
        <v>0</v>
      </c>
      <c r="H336" s="2">
        <v>45995</v>
      </c>
      <c r="I336">
        <v>11</v>
      </c>
      <c r="J336" t="s">
        <v>34</v>
      </c>
      <c r="K336">
        <v>0</v>
      </c>
      <c r="L336" t="s">
        <v>35</v>
      </c>
      <c r="M336">
        <v>2.9833333333333329</v>
      </c>
      <c r="N336" t="s">
        <v>62</v>
      </c>
      <c r="O336">
        <v>80</v>
      </c>
      <c r="P336" t="s">
        <v>37</v>
      </c>
      <c r="Q336">
        <v>0</v>
      </c>
      <c r="R336">
        <v>0</v>
      </c>
      <c r="S336">
        <v>0</v>
      </c>
      <c r="T336">
        <v>27.7</v>
      </c>
      <c r="U336">
        <v>39.909999999999997</v>
      </c>
      <c r="V336" t="s">
        <v>30</v>
      </c>
      <c r="W336">
        <v>0</v>
      </c>
      <c r="X336" t="s">
        <v>31</v>
      </c>
    </row>
    <row r="337" spans="1:24" x14ac:dyDescent="0.3">
      <c r="A337" t="s">
        <v>389</v>
      </c>
      <c r="B337" t="s">
        <v>47</v>
      </c>
      <c r="C337" s="2">
        <v>45996.384722222218</v>
      </c>
      <c r="D337" s="2">
        <v>45996.443055555559</v>
      </c>
      <c r="E337">
        <v>1.4</v>
      </c>
      <c r="F337">
        <v>32.369999999999997</v>
      </c>
      <c r="G337" t="b">
        <v>0</v>
      </c>
      <c r="H337" s="2">
        <v>45996</v>
      </c>
      <c r="I337">
        <v>9</v>
      </c>
      <c r="J337" t="s">
        <v>41</v>
      </c>
      <c r="K337">
        <v>0</v>
      </c>
      <c r="L337" t="s">
        <v>35</v>
      </c>
      <c r="M337">
        <v>1.4</v>
      </c>
      <c r="N337" t="s">
        <v>49</v>
      </c>
      <c r="O337">
        <v>50</v>
      </c>
      <c r="P337" t="s">
        <v>50</v>
      </c>
      <c r="Q337">
        <v>0</v>
      </c>
      <c r="R337">
        <v>1</v>
      </c>
      <c r="S337">
        <v>0</v>
      </c>
      <c r="T337">
        <v>33.1</v>
      </c>
      <c r="U337">
        <v>32.369999999999997</v>
      </c>
      <c r="V337" t="s">
        <v>38</v>
      </c>
      <c r="W337">
        <v>1</v>
      </c>
      <c r="X337" t="s">
        <v>31</v>
      </c>
    </row>
    <row r="338" spans="1:24" x14ac:dyDescent="0.3">
      <c r="A338" t="s">
        <v>390</v>
      </c>
      <c r="B338" t="s">
        <v>40</v>
      </c>
      <c r="C338" s="2">
        <v>45997.863194444442</v>
      </c>
      <c r="D338" s="2">
        <v>45997.932638888888</v>
      </c>
      <c r="E338">
        <v>1.666666666666667</v>
      </c>
      <c r="F338">
        <v>19.440000000000001</v>
      </c>
      <c r="G338" t="b">
        <v>0</v>
      </c>
      <c r="H338" s="2">
        <v>45997</v>
      </c>
      <c r="I338">
        <v>20</v>
      </c>
      <c r="J338" t="s">
        <v>48</v>
      </c>
      <c r="K338">
        <v>1</v>
      </c>
      <c r="L338" t="s">
        <v>42</v>
      </c>
      <c r="M338">
        <v>1.666666666666667</v>
      </c>
      <c r="N338" t="s">
        <v>43</v>
      </c>
      <c r="O338">
        <v>100</v>
      </c>
      <c r="P338" t="s">
        <v>44</v>
      </c>
      <c r="Q338">
        <v>1</v>
      </c>
      <c r="R338">
        <v>0</v>
      </c>
      <c r="S338">
        <v>1</v>
      </c>
      <c r="T338">
        <v>32.1</v>
      </c>
      <c r="U338">
        <v>19.440000000000001</v>
      </c>
      <c r="V338" t="s">
        <v>45</v>
      </c>
      <c r="W338">
        <v>0</v>
      </c>
      <c r="X338" t="s">
        <v>59</v>
      </c>
    </row>
    <row r="339" spans="1:24" x14ac:dyDescent="0.3">
      <c r="A339" t="s">
        <v>391</v>
      </c>
      <c r="B339" t="s">
        <v>40</v>
      </c>
      <c r="C339" s="2">
        <v>45998.837500000001</v>
      </c>
      <c r="D339" s="2">
        <v>45998.867361111108</v>
      </c>
      <c r="E339">
        <v>0.71666666666666667</v>
      </c>
      <c r="F339">
        <v>12</v>
      </c>
      <c r="G339" t="b">
        <v>0</v>
      </c>
      <c r="H339" s="2">
        <v>45998</v>
      </c>
      <c r="I339">
        <v>20</v>
      </c>
      <c r="J339" t="s">
        <v>52</v>
      </c>
      <c r="K339">
        <v>1</v>
      </c>
      <c r="L339" t="s">
        <v>42</v>
      </c>
      <c r="M339">
        <v>0.71666666666666667</v>
      </c>
      <c r="N339" t="s">
        <v>43</v>
      </c>
      <c r="O339">
        <v>100</v>
      </c>
      <c r="P339" t="s">
        <v>44</v>
      </c>
      <c r="Q339">
        <v>1</v>
      </c>
      <c r="R339">
        <v>0</v>
      </c>
      <c r="S339">
        <v>1</v>
      </c>
      <c r="T339">
        <v>32.6</v>
      </c>
      <c r="U339">
        <v>12</v>
      </c>
      <c r="V339" t="s">
        <v>38</v>
      </c>
      <c r="W339">
        <v>0</v>
      </c>
      <c r="X339" t="s">
        <v>59</v>
      </c>
    </row>
    <row r="340" spans="1:24" x14ac:dyDescent="0.3">
      <c r="A340" t="s">
        <v>392</v>
      </c>
      <c r="B340" t="s">
        <v>40</v>
      </c>
      <c r="C340" s="2">
        <v>45999.902083333327</v>
      </c>
      <c r="D340" s="2">
        <v>46000.073611111111</v>
      </c>
      <c r="E340">
        <v>4.1166666666666663</v>
      </c>
      <c r="F340">
        <v>68.73</v>
      </c>
      <c r="G340" t="b">
        <v>0</v>
      </c>
      <c r="H340" s="2">
        <v>45999</v>
      </c>
      <c r="I340">
        <v>21</v>
      </c>
      <c r="J340" t="s">
        <v>54</v>
      </c>
      <c r="K340">
        <v>0</v>
      </c>
      <c r="L340" t="s">
        <v>66</v>
      </c>
      <c r="M340">
        <v>4.1166666666666663</v>
      </c>
      <c r="N340" t="s">
        <v>43</v>
      </c>
      <c r="O340">
        <v>100</v>
      </c>
      <c r="P340" t="s">
        <v>44</v>
      </c>
      <c r="Q340">
        <v>0</v>
      </c>
      <c r="R340">
        <v>0</v>
      </c>
      <c r="S340">
        <v>0</v>
      </c>
      <c r="T340">
        <v>35.4</v>
      </c>
      <c r="U340">
        <v>68.73</v>
      </c>
      <c r="V340" t="s">
        <v>38</v>
      </c>
      <c r="W340">
        <v>0</v>
      </c>
      <c r="X340" t="s">
        <v>31</v>
      </c>
    </row>
    <row r="341" spans="1:24" x14ac:dyDescent="0.3">
      <c r="A341" t="s">
        <v>393</v>
      </c>
      <c r="B341" t="s">
        <v>61</v>
      </c>
      <c r="C341" s="2">
        <v>46000.719444444447</v>
      </c>
      <c r="D341" s="2">
        <v>46000.818749999999</v>
      </c>
      <c r="E341">
        <v>2.3833333333333329</v>
      </c>
      <c r="F341">
        <v>38.69</v>
      </c>
      <c r="G341" t="b">
        <v>0</v>
      </c>
      <c r="H341" s="2">
        <v>46000</v>
      </c>
      <c r="I341">
        <v>17</v>
      </c>
      <c r="J341" t="s">
        <v>56</v>
      </c>
      <c r="K341">
        <v>0</v>
      </c>
      <c r="L341" t="s">
        <v>42</v>
      </c>
      <c r="M341">
        <v>2.3833333333333329</v>
      </c>
      <c r="N341" t="s">
        <v>62</v>
      </c>
      <c r="O341">
        <v>80</v>
      </c>
      <c r="P341" t="s">
        <v>37</v>
      </c>
      <c r="Q341">
        <v>0</v>
      </c>
      <c r="R341">
        <v>0</v>
      </c>
      <c r="S341">
        <v>0</v>
      </c>
      <c r="T341">
        <v>31.1</v>
      </c>
      <c r="U341">
        <v>38.69</v>
      </c>
      <c r="V341" t="s">
        <v>30</v>
      </c>
      <c r="W341">
        <v>0</v>
      </c>
      <c r="X341" t="s">
        <v>31</v>
      </c>
    </row>
    <row r="342" spans="1:24" x14ac:dyDescent="0.3">
      <c r="A342" t="s">
        <v>394</v>
      </c>
      <c r="B342" t="s">
        <v>33</v>
      </c>
      <c r="C342" s="2">
        <v>46001.865277777782</v>
      </c>
      <c r="D342" s="2">
        <v>46001.932638888888</v>
      </c>
      <c r="E342">
        <v>1.6166666666666669</v>
      </c>
      <c r="F342">
        <v>23.87</v>
      </c>
      <c r="G342" t="b">
        <v>0</v>
      </c>
      <c r="H342" s="2">
        <v>46001</v>
      </c>
      <c r="I342">
        <v>20</v>
      </c>
      <c r="J342" t="s">
        <v>26</v>
      </c>
      <c r="K342">
        <v>0</v>
      </c>
      <c r="L342" t="s">
        <v>42</v>
      </c>
      <c r="M342">
        <v>1.6166666666666669</v>
      </c>
      <c r="N342" t="s">
        <v>36</v>
      </c>
      <c r="O342">
        <v>60</v>
      </c>
      <c r="P342" t="s">
        <v>37</v>
      </c>
      <c r="Q342">
        <v>0</v>
      </c>
      <c r="R342">
        <v>0</v>
      </c>
      <c r="S342">
        <v>0</v>
      </c>
      <c r="T342">
        <v>30.1</v>
      </c>
      <c r="U342">
        <v>23.87</v>
      </c>
      <c r="V342" t="s">
        <v>38</v>
      </c>
      <c r="W342">
        <v>0</v>
      </c>
      <c r="X342" t="s">
        <v>31</v>
      </c>
    </row>
    <row r="343" spans="1:24" x14ac:dyDescent="0.3">
      <c r="A343" t="s">
        <v>395</v>
      </c>
      <c r="B343" t="s">
        <v>40</v>
      </c>
      <c r="C343" s="2">
        <v>46002.441666666673</v>
      </c>
      <c r="D343" s="2">
        <v>46002.561111111107</v>
      </c>
      <c r="E343">
        <v>2.8666666666666671</v>
      </c>
      <c r="F343">
        <v>48.83</v>
      </c>
      <c r="G343" t="b">
        <v>0</v>
      </c>
      <c r="H343" s="2">
        <v>46002</v>
      </c>
      <c r="I343">
        <v>10</v>
      </c>
      <c r="J343" t="s">
        <v>34</v>
      </c>
      <c r="K343">
        <v>0</v>
      </c>
      <c r="L343" t="s">
        <v>35</v>
      </c>
      <c r="M343">
        <v>2.8666666666666671</v>
      </c>
      <c r="N343" t="s">
        <v>43</v>
      </c>
      <c r="O343">
        <v>100</v>
      </c>
      <c r="P343" t="s">
        <v>44</v>
      </c>
      <c r="Q343">
        <v>0</v>
      </c>
      <c r="R343">
        <v>0</v>
      </c>
      <c r="S343">
        <v>0</v>
      </c>
      <c r="T343">
        <v>34.299999999999997</v>
      </c>
      <c r="U343">
        <v>48.83</v>
      </c>
      <c r="V343" t="s">
        <v>38</v>
      </c>
      <c r="W343">
        <v>0</v>
      </c>
      <c r="X343" t="s">
        <v>31</v>
      </c>
    </row>
    <row r="344" spans="1:24" x14ac:dyDescent="0.3">
      <c r="A344" t="s">
        <v>396</v>
      </c>
      <c r="B344" t="s">
        <v>61</v>
      </c>
      <c r="C344" s="2">
        <v>46003.636805555558</v>
      </c>
      <c r="D344" s="2">
        <v>46003.856944444437</v>
      </c>
      <c r="E344">
        <v>5.2833333333333332</v>
      </c>
      <c r="F344">
        <v>74.37</v>
      </c>
      <c r="G344" t="b">
        <v>0</v>
      </c>
      <c r="H344" s="2">
        <v>46003</v>
      </c>
      <c r="I344">
        <v>15</v>
      </c>
      <c r="J344" t="s">
        <v>41</v>
      </c>
      <c r="K344">
        <v>0</v>
      </c>
      <c r="L344" t="s">
        <v>27</v>
      </c>
      <c r="M344">
        <v>5.2833333333333332</v>
      </c>
      <c r="N344" t="s">
        <v>62</v>
      </c>
      <c r="O344">
        <v>80</v>
      </c>
      <c r="P344" t="s">
        <v>37</v>
      </c>
      <c r="Q344">
        <v>0</v>
      </c>
      <c r="R344">
        <v>1</v>
      </c>
      <c r="S344">
        <v>0</v>
      </c>
      <c r="T344">
        <v>32.799999999999997</v>
      </c>
      <c r="U344">
        <v>74.37</v>
      </c>
      <c r="V344" t="s">
        <v>38</v>
      </c>
      <c r="W344">
        <v>1</v>
      </c>
      <c r="X344" t="s">
        <v>31</v>
      </c>
    </row>
    <row r="345" spans="1:24" x14ac:dyDescent="0.3">
      <c r="A345" t="s">
        <v>397</v>
      </c>
      <c r="B345" t="s">
        <v>25</v>
      </c>
      <c r="C345" s="2">
        <v>46004.502083333333</v>
      </c>
      <c r="D345" s="2">
        <v>46004.512499999997</v>
      </c>
      <c r="E345">
        <v>0.25</v>
      </c>
      <c r="F345">
        <v>10</v>
      </c>
      <c r="G345" t="b">
        <v>0</v>
      </c>
      <c r="H345" s="2">
        <v>46004</v>
      </c>
      <c r="I345">
        <v>12</v>
      </c>
      <c r="J345" t="s">
        <v>48</v>
      </c>
      <c r="K345">
        <v>1</v>
      </c>
      <c r="L345" t="s">
        <v>27</v>
      </c>
      <c r="M345">
        <v>0.25</v>
      </c>
      <c r="N345" t="s">
        <v>28</v>
      </c>
      <c r="O345">
        <v>70</v>
      </c>
      <c r="P345" t="s">
        <v>29</v>
      </c>
      <c r="Q345">
        <v>1</v>
      </c>
      <c r="R345">
        <v>0</v>
      </c>
      <c r="S345">
        <v>0</v>
      </c>
      <c r="T345">
        <v>30.3</v>
      </c>
      <c r="U345">
        <v>10</v>
      </c>
      <c r="V345" t="s">
        <v>38</v>
      </c>
      <c r="W345">
        <v>0</v>
      </c>
      <c r="X345" t="s">
        <v>31</v>
      </c>
    </row>
    <row r="346" spans="1:24" x14ac:dyDescent="0.3">
      <c r="A346" t="s">
        <v>398</v>
      </c>
      <c r="B346" t="s">
        <v>25</v>
      </c>
      <c r="C346" s="2">
        <v>46005.881249999999</v>
      </c>
      <c r="D346" s="2">
        <v>46005.915277777778</v>
      </c>
      <c r="E346">
        <v>0.81666666666666665</v>
      </c>
      <c r="F346">
        <v>10</v>
      </c>
      <c r="G346" t="b">
        <v>0</v>
      </c>
      <c r="H346" s="2">
        <v>46005</v>
      </c>
      <c r="I346">
        <v>21</v>
      </c>
      <c r="J346" t="s">
        <v>52</v>
      </c>
      <c r="K346">
        <v>1</v>
      </c>
      <c r="L346" t="s">
        <v>66</v>
      </c>
      <c r="M346">
        <v>0.81666666666666665</v>
      </c>
      <c r="N346" t="s">
        <v>28</v>
      </c>
      <c r="O346">
        <v>70</v>
      </c>
      <c r="P346" t="s">
        <v>29</v>
      </c>
      <c r="Q346">
        <v>1</v>
      </c>
      <c r="R346">
        <v>0</v>
      </c>
      <c r="S346">
        <v>0</v>
      </c>
      <c r="T346">
        <v>26.5</v>
      </c>
      <c r="U346">
        <v>10</v>
      </c>
      <c r="V346" t="s">
        <v>38</v>
      </c>
      <c r="W346">
        <v>0</v>
      </c>
      <c r="X346" t="s">
        <v>31</v>
      </c>
    </row>
    <row r="347" spans="1:24" x14ac:dyDescent="0.3">
      <c r="A347" t="s">
        <v>399</v>
      </c>
      <c r="B347" t="s">
        <v>25</v>
      </c>
      <c r="C347" s="2">
        <v>46006.67083333333</v>
      </c>
      <c r="D347" s="2">
        <v>46006.681250000001</v>
      </c>
      <c r="E347">
        <v>0.25</v>
      </c>
      <c r="F347">
        <v>10</v>
      </c>
      <c r="G347" t="b">
        <v>0</v>
      </c>
      <c r="H347" s="2">
        <v>46006</v>
      </c>
      <c r="I347">
        <v>16</v>
      </c>
      <c r="J347" t="s">
        <v>54</v>
      </c>
      <c r="K347">
        <v>0</v>
      </c>
      <c r="L347" t="s">
        <v>27</v>
      </c>
      <c r="M347">
        <v>0.25</v>
      </c>
      <c r="N347" t="s">
        <v>28</v>
      </c>
      <c r="O347">
        <v>70</v>
      </c>
      <c r="P347" t="s">
        <v>29</v>
      </c>
      <c r="Q347">
        <v>0</v>
      </c>
      <c r="R347">
        <v>0</v>
      </c>
      <c r="S347">
        <v>0</v>
      </c>
      <c r="T347">
        <v>34.5</v>
      </c>
      <c r="U347">
        <v>10</v>
      </c>
      <c r="V347" t="s">
        <v>30</v>
      </c>
      <c r="W347">
        <v>0</v>
      </c>
      <c r="X347" t="s">
        <v>31</v>
      </c>
    </row>
    <row r="348" spans="1:24" x14ac:dyDescent="0.3">
      <c r="A348" t="s">
        <v>400</v>
      </c>
      <c r="B348" t="s">
        <v>47</v>
      </c>
      <c r="C348" s="2">
        <v>46007.939583333333</v>
      </c>
      <c r="D348" s="2">
        <v>46008.011805555558</v>
      </c>
      <c r="E348">
        <v>1.7333333333333329</v>
      </c>
      <c r="F348">
        <v>25.2</v>
      </c>
      <c r="G348" t="b">
        <v>0</v>
      </c>
      <c r="H348" s="2">
        <v>46007</v>
      </c>
      <c r="I348">
        <v>22</v>
      </c>
      <c r="J348" t="s">
        <v>56</v>
      </c>
      <c r="K348">
        <v>0</v>
      </c>
      <c r="L348" t="s">
        <v>66</v>
      </c>
      <c r="M348">
        <v>1.7333333333333329</v>
      </c>
      <c r="N348" t="s">
        <v>49</v>
      </c>
      <c r="O348">
        <v>50</v>
      </c>
      <c r="P348" t="s">
        <v>50</v>
      </c>
      <c r="Q348">
        <v>0</v>
      </c>
      <c r="R348">
        <v>0</v>
      </c>
      <c r="S348">
        <v>0</v>
      </c>
      <c r="T348">
        <v>34.6</v>
      </c>
      <c r="U348">
        <v>25.2</v>
      </c>
      <c r="V348" t="s">
        <v>38</v>
      </c>
      <c r="W348">
        <v>0</v>
      </c>
      <c r="X348" t="s">
        <v>31</v>
      </c>
    </row>
    <row r="349" spans="1:24" x14ac:dyDescent="0.3">
      <c r="A349" t="s">
        <v>401</v>
      </c>
      <c r="B349" t="s">
        <v>61</v>
      </c>
      <c r="C349" s="2">
        <v>46008.792361111111</v>
      </c>
      <c r="D349" s="2">
        <v>46008.84652777778</v>
      </c>
      <c r="E349">
        <v>1.3</v>
      </c>
      <c r="F349">
        <v>30.8</v>
      </c>
      <c r="G349" t="b">
        <v>0</v>
      </c>
      <c r="H349" s="2">
        <v>46008</v>
      </c>
      <c r="I349">
        <v>19</v>
      </c>
      <c r="J349" t="s">
        <v>26</v>
      </c>
      <c r="K349">
        <v>0</v>
      </c>
      <c r="L349" t="s">
        <v>42</v>
      </c>
      <c r="M349">
        <v>1.3</v>
      </c>
      <c r="N349" t="s">
        <v>62</v>
      </c>
      <c r="O349">
        <v>80</v>
      </c>
      <c r="P349" t="s">
        <v>37</v>
      </c>
      <c r="Q349">
        <v>0</v>
      </c>
      <c r="R349">
        <v>0</v>
      </c>
      <c r="S349">
        <v>1</v>
      </c>
      <c r="T349">
        <v>30.5</v>
      </c>
      <c r="U349">
        <v>30.8</v>
      </c>
      <c r="V349" t="s">
        <v>38</v>
      </c>
      <c r="W349">
        <v>0</v>
      </c>
      <c r="X349" t="s">
        <v>59</v>
      </c>
    </row>
    <row r="350" spans="1:24" x14ac:dyDescent="0.3">
      <c r="A350" t="s">
        <v>402</v>
      </c>
      <c r="B350" t="s">
        <v>61</v>
      </c>
      <c r="C350" s="2">
        <v>46009.604861111111</v>
      </c>
      <c r="D350" s="2">
        <v>46009.72152777778</v>
      </c>
      <c r="E350">
        <v>2.8</v>
      </c>
      <c r="F350">
        <v>46.2</v>
      </c>
      <c r="G350" t="b">
        <v>0</v>
      </c>
      <c r="H350" s="2">
        <v>46009</v>
      </c>
      <c r="I350">
        <v>14</v>
      </c>
      <c r="J350" t="s">
        <v>34</v>
      </c>
      <c r="K350">
        <v>0</v>
      </c>
      <c r="L350" t="s">
        <v>27</v>
      </c>
      <c r="M350">
        <v>2.8</v>
      </c>
      <c r="N350" t="s">
        <v>62</v>
      </c>
      <c r="O350">
        <v>80</v>
      </c>
      <c r="P350" t="s">
        <v>37</v>
      </c>
      <c r="Q350">
        <v>0</v>
      </c>
      <c r="R350">
        <v>0</v>
      </c>
      <c r="S350">
        <v>0</v>
      </c>
      <c r="T350">
        <v>30.5</v>
      </c>
      <c r="U350">
        <v>46.2</v>
      </c>
      <c r="V350" t="s">
        <v>45</v>
      </c>
      <c r="W350">
        <v>0</v>
      </c>
      <c r="X350" t="s">
        <v>31</v>
      </c>
    </row>
    <row r="351" spans="1:24" x14ac:dyDescent="0.3">
      <c r="A351" t="s">
        <v>403</v>
      </c>
      <c r="B351" t="s">
        <v>47</v>
      </c>
      <c r="C351" s="2">
        <v>46010.359027777777</v>
      </c>
      <c r="D351" s="2">
        <v>46010.534722222219</v>
      </c>
      <c r="E351">
        <v>4.2166666666666668</v>
      </c>
      <c r="F351">
        <v>62.43</v>
      </c>
      <c r="G351" t="b">
        <v>0</v>
      </c>
      <c r="H351" s="2">
        <v>46010</v>
      </c>
      <c r="I351">
        <v>8</v>
      </c>
      <c r="J351" t="s">
        <v>41</v>
      </c>
      <c r="K351">
        <v>0</v>
      </c>
      <c r="L351" t="s">
        <v>35</v>
      </c>
      <c r="M351">
        <v>4.2166666666666668</v>
      </c>
      <c r="N351" t="s">
        <v>49</v>
      </c>
      <c r="O351">
        <v>50</v>
      </c>
      <c r="P351" t="s">
        <v>50</v>
      </c>
      <c r="Q351">
        <v>0</v>
      </c>
      <c r="R351">
        <v>1</v>
      </c>
      <c r="S351">
        <v>1</v>
      </c>
      <c r="T351">
        <v>28.8</v>
      </c>
      <c r="U351">
        <v>62.43</v>
      </c>
      <c r="V351" t="s">
        <v>30</v>
      </c>
      <c r="W351">
        <v>1</v>
      </c>
      <c r="X351" t="s">
        <v>59</v>
      </c>
    </row>
    <row r="352" spans="1:24" x14ac:dyDescent="0.3">
      <c r="A352" t="s">
        <v>404</v>
      </c>
      <c r="B352" t="s">
        <v>47</v>
      </c>
      <c r="C352" s="2">
        <v>46011.770138888889</v>
      </c>
      <c r="D352" s="2">
        <v>46011.783333333333</v>
      </c>
      <c r="E352">
        <v>0.31666666666666671</v>
      </c>
      <c r="F352">
        <v>10</v>
      </c>
      <c r="G352" t="b">
        <v>0</v>
      </c>
      <c r="H352" s="2">
        <v>46011</v>
      </c>
      <c r="I352">
        <v>18</v>
      </c>
      <c r="J352" t="s">
        <v>48</v>
      </c>
      <c r="K352">
        <v>1</v>
      </c>
      <c r="L352" t="s">
        <v>42</v>
      </c>
      <c r="M352">
        <v>0.31666666666666671</v>
      </c>
      <c r="N352" t="s">
        <v>49</v>
      </c>
      <c r="O352">
        <v>50</v>
      </c>
      <c r="P352" t="s">
        <v>50</v>
      </c>
      <c r="Q352">
        <v>1</v>
      </c>
      <c r="R352">
        <v>0</v>
      </c>
      <c r="S352">
        <v>0</v>
      </c>
      <c r="T352">
        <v>29.9</v>
      </c>
      <c r="U352">
        <v>10</v>
      </c>
      <c r="V352" t="s">
        <v>38</v>
      </c>
      <c r="W352">
        <v>0</v>
      </c>
      <c r="X352" t="s">
        <v>31</v>
      </c>
    </row>
    <row r="353" spans="1:24" x14ac:dyDescent="0.3">
      <c r="A353" t="s">
        <v>405</v>
      </c>
      <c r="B353" t="s">
        <v>25</v>
      </c>
      <c r="C353" s="2">
        <v>46012.667361111111</v>
      </c>
      <c r="D353" s="2">
        <v>46012.680555555547</v>
      </c>
      <c r="E353">
        <v>0.31666666666666671</v>
      </c>
      <c r="F353">
        <v>12.98</v>
      </c>
      <c r="G353" t="b">
        <v>0</v>
      </c>
      <c r="H353" s="2">
        <v>46012</v>
      </c>
      <c r="I353">
        <v>16</v>
      </c>
      <c r="J353" t="s">
        <v>52</v>
      </c>
      <c r="K353">
        <v>1</v>
      </c>
      <c r="L353" t="s">
        <v>27</v>
      </c>
      <c r="M353">
        <v>0.31666666666666671</v>
      </c>
      <c r="N353" t="s">
        <v>28</v>
      </c>
      <c r="O353">
        <v>70</v>
      </c>
      <c r="P353" t="s">
        <v>29</v>
      </c>
      <c r="Q353">
        <v>1</v>
      </c>
      <c r="R353">
        <v>0</v>
      </c>
      <c r="S353">
        <v>0</v>
      </c>
      <c r="T353">
        <v>32.4</v>
      </c>
      <c r="U353">
        <v>12.98</v>
      </c>
      <c r="V353" t="s">
        <v>38</v>
      </c>
      <c r="W353">
        <v>0</v>
      </c>
      <c r="X353" t="s">
        <v>31</v>
      </c>
    </row>
    <row r="354" spans="1:24" x14ac:dyDescent="0.3">
      <c r="A354" t="s">
        <v>406</v>
      </c>
      <c r="B354" t="s">
        <v>25</v>
      </c>
      <c r="C354" s="2">
        <v>46013.847916666673</v>
      </c>
      <c r="F354">
        <v>12.71</v>
      </c>
      <c r="G354" t="b">
        <v>1</v>
      </c>
      <c r="H354" s="2">
        <v>46013</v>
      </c>
      <c r="I354">
        <v>20</v>
      </c>
      <c r="J354" t="s">
        <v>54</v>
      </c>
      <c r="K354">
        <v>0</v>
      </c>
      <c r="L354" t="s">
        <v>42</v>
      </c>
      <c r="N354" t="s">
        <v>28</v>
      </c>
      <c r="O354">
        <v>70</v>
      </c>
      <c r="P354" t="s">
        <v>29</v>
      </c>
      <c r="Q354">
        <v>0</v>
      </c>
      <c r="R354">
        <v>0</v>
      </c>
      <c r="S354">
        <v>0</v>
      </c>
      <c r="T354">
        <v>23.7</v>
      </c>
      <c r="U354">
        <v>12.71</v>
      </c>
      <c r="V354" t="s">
        <v>30</v>
      </c>
      <c r="W354">
        <v>0</v>
      </c>
      <c r="X354" t="s">
        <v>31</v>
      </c>
    </row>
    <row r="355" spans="1:24" x14ac:dyDescent="0.3">
      <c r="A355" t="s">
        <v>407</v>
      </c>
      <c r="B355" t="s">
        <v>47</v>
      </c>
      <c r="C355" s="2">
        <v>46014.788888888892</v>
      </c>
      <c r="D355" s="2">
        <v>46014.82916666667</v>
      </c>
      <c r="E355">
        <v>0.96666666666666667</v>
      </c>
      <c r="F355">
        <v>16.190000000000001</v>
      </c>
      <c r="G355" t="b">
        <v>0</v>
      </c>
      <c r="H355" s="2">
        <v>46014</v>
      </c>
      <c r="I355">
        <v>18</v>
      </c>
      <c r="J355" t="s">
        <v>56</v>
      </c>
      <c r="K355">
        <v>0</v>
      </c>
      <c r="L355" t="s">
        <v>42</v>
      </c>
      <c r="M355">
        <v>0.96666666666666667</v>
      </c>
      <c r="N355" t="s">
        <v>49</v>
      </c>
      <c r="O355">
        <v>50</v>
      </c>
      <c r="P355" t="s">
        <v>50</v>
      </c>
      <c r="Q355">
        <v>0</v>
      </c>
      <c r="R355">
        <v>0</v>
      </c>
      <c r="S355">
        <v>0</v>
      </c>
      <c r="T355">
        <v>28.2</v>
      </c>
      <c r="U355">
        <v>16.190000000000001</v>
      </c>
      <c r="V355" t="s">
        <v>30</v>
      </c>
      <c r="W355">
        <v>0</v>
      </c>
      <c r="X355" t="s">
        <v>31</v>
      </c>
    </row>
    <row r="356" spans="1:24" x14ac:dyDescent="0.3">
      <c r="A356" t="s">
        <v>408</v>
      </c>
      <c r="B356" t="s">
        <v>47</v>
      </c>
      <c r="C356" s="2">
        <v>46015.402777777781</v>
      </c>
      <c r="D356" s="2">
        <v>46015.472222222219</v>
      </c>
      <c r="E356">
        <v>1.666666666666667</v>
      </c>
      <c r="F356">
        <v>20.190000000000001</v>
      </c>
      <c r="G356" t="b">
        <v>0</v>
      </c>
      <c r="H356" s="2">
        <v>46015</v>
      </c>
      <c r="I356">
        <v>9</v>
      </c>
      <c r="J356" t="s">
        <v>26</v>
      </c>
      <c r="K356">
        <v>0</v>
      </c>
      <c r="L356" t="s">
        <v>35</v>
      </c>
      <c r="M356">
        <v>1.666666666666667</v>
      </c>
      <c r="N356" t="s">
        <v>49</v>
      </c>
      <c r="O356">
        <v>50</v>
      </c>
      <c r="P356" t="s">
        <v>50</v>
      </c>
      <c r="Q356">
        <v>0</v>
      </c>
      <c r="R356">
        <v>0</v>
      </c>
      <c r="S356">
        <v>0</v>
      </c>
      <c r="T356">
        <v>35.9</v>
      </c>
      <c r="U356">
        <v>20.190000000000001</v>
      </c>
      <c r="V356" t="s">
        <v>38</v>
      </c>
      <c r="W356">
        <v>0</v>
      </c>
      <c r="X356" t="s">
        <v>31</v>
      </c>
    </row>
    <row r="357" spans="1:24" x14ac:dyDescent="0.3">
      <c r="A357" t="s">
        <v>409</v>
      </c>
      <c r="B357" t="s">
        <v>25</v>
      </c>
      <c r="C357" s="2">
        <v>46016.443749999999</v>
      </c>
      <c r="D357" s="2">
        <v>46016.565972222219</v>
      </c>
      <c r="E357">
        <v>2.9333333333333331</v>
      </c>
      <c r="F357">
        <v>44.26</v>
      </c>
      <c r="G357" t="b">
        <v>0</v>
      </c>
      <c r="H357" s="2">
        <v>46016</v>
      </c>
      <c r="I357">
        <v>10</v>
      </c>
      <c r="J357" t="s">
        <v>34</v>
      </c>
      <c r="K357">
        <v>0</v>
      </c>
      <c r="L357" t="s">
        <v>35</v>
      </c>
      <c r="M357">
        <v>2.9333333333333331</v>
      </c>
      <c r="N357" t="s">
        <v>28</v>
      </c>
      <c r="O357">
        <v>70</v>
      </c>
      <c r="P357" t="s">
        <v>29</v>
      </c>
      <c r="Q357">
        <v>0</v>
      </c>
      <c r="R357">
        <v>0</v>
      </c>
      <c r="S357">
        <v>0</v>
      </c>
      <c r="T357">
        <v>29.9</v>
      </c>
      <c r="U357">
        <v>44.26</v>
      </c>
      <c r="V357" t="s">
        <v>38</v>
      </c>
      <c r="W357">
        <v>0</v>
      </c>
      <c r="X357" t="s">
        <v>31</v>
      </c>
    </row>
    <row r="358" spans="1:24" x14ac:dyDescent="0.3">
      <c r="A358" t="s">
        <v>410</v>
      </c>
      <c r="B358" t="s">
        <v>25</v>
      </c>
      <c r="C358" s="2">
        <v>46017.404166666667</v>
      </c>
      <c r="D358" s="2">
        <v>46017.523611111108</v>
      </c>
      <c r="E358">
        <v>2.8666666666666671</v>
      </c>
      <c r="F358">
        <v>36.68</v>
      </c>
      <c r="G358" t="b">
        <v>0</v>
      </c>
      <c r="H358" s="2">
        <v>46017</v>
      </c>
      <c r="I358">
        <v>9</v>
      </c>
      <c r="J358" t="s">
        <v>41</v>
      </c>
      <c r="K358">
        <v>0</v>
      </c>
      <c r="L358" t="s">
        <v>35</v>
      </c>
      <c r="M358">
        <v>2.8666666666666671</v>
      </c>
      <c r="N358" t="s">
        <v>28</v>
      </c>
      <c r="O358">
        <v>70</v>
      </c>
      <c r="P358" t="s">
        <v>29</v>
      </c>
      <c r="Q358">
        <v>0</v>
      </c>
      <c r="R358">
        <v>1</v>
      </c>
      <c r="S358">
        <v>0</v>
      </c>
      <c r="T358">
        <v>33.700000000000003</v>
      </c>
      <c r="U358">
        <v>36.68</v>
      </c>
      <c r="V358" t="s">
        <v>30</v>
      </c>
      <c r="W358">
        <v>1</v>
      </c>
      <c r="X358" t="s">
        <v>31</v>
      </c>
    </row>
    <row r="359" spans="1:24" x14ac:dyDescent="0.3">
      <c r="A359" t="s">
        <v>411</v>
      </c>
      <c r="B359" t="s">
        <v>47</v>
      </c>
      <c r="C359" s="2">
        <v>46018.918055555558</v>
      </c>
      <c r="D359" s="2">
        <v>46019.143055555563</v>
      </c>
      <c r="E359">
        <v>5.4</v>
      </c>
      <c r="F359">
        <v>78.67</v>
      </c>
      <c r="G359" t="b">
        <v>0</v>
      </c>
      <c r="H359" s="2">
        <v>46018</v>
      </c>
      <c r="I359">
        <v>22</v>
      </c>
      <c r="J359" t="s">
        <v>48</v>
      </c>
      <c r="K359">
        <v>1</v>
      </c>
      <c r="L359" t="s">
        <v>66</v>
      </c>
      <c r="M359">
        <v>5.4</v>
      </c>
      <c r="N359" t="s">
        <v>49</v>
      </c>
      <c r="O359">
        <v>50</v>
      </c>
      <c r="P359" t="s">
        <v>50</v>
      </c>
      <c r="Q359">
        <v>1</v>
      </c>
      <c r="R359">
        <v>0</v>
      </c>
      <c r="S359">
        <v>1</v>
      </c>
      <c r="T359">
        <v>30.4</v>
      </c>
      <c r="U359">
        <v>78.67</v>
      </c>
      <c r="V359" t="s">
        <v>38</v>
      </c>
      <c r="W359">
        <v>0</v>
      </c>
      <c r="X359" t="s">
        <v>59</v>
      </c>
    </row>
    <row r="360" spans="1:24" x14ac:dyDescent="0.3">
      <c r="A360" t="s">
        <v>412</v>
      </c>
      <c r="B360" t="s">
        <v>61</v>
      </c>
      <c r="C360" s="2">
        <v>46019.342361111107</v>
      </c>
      <c r="D360" s="2">
        <v>46019.421527777777</v>
      </c>
      <c r="E360">
        <v>1.9</v>
      </c>
      <c r="F360">
        <v>29.87</v>
      </c>
      <c r="G360" t="b">
        <v>0</v>
      </c>
      <c r="H360" s="2">
        <v>46019</v>
      </c>
      <c r="I360">
        <v>8</v>
      </c>
      <c r="J360" t="s">
        <v>52</v>
      </c>
      <c r="K360">
        <v>1</v>
      </c>
      <c r="L360" t="s">
        <v>35</v>
      </c>
      <c r="M360">
        <v>1.9</v>
      </c>
      <c r="N360" t="s">
        <v>62</v>
      </c>
      <c r="O360">
        <v>80</v>
      </c>
      <c r="P360" t="s">
        <v>37</v>
      </c>
      <c r="Q360">
        <v>1</v>
      </c>
      <c r="R360">
        <v>0</v>
      </c>
      <c r="S360">
        <v>0</v>
      </c>
      <c r="T360">
        <v>25.4</v>
      </c>
      <c r="U360">
        <v>29.87</v>
      </c>
      <c r="V360" t="s">
        <v>38</v>
      </c>
      <c r="W360">
        <v>0</v>
      </c>
      <c r="X360" t="s">
        <v>31</v>
      </c>
    </row>
    <row r="361" spans="1:24" x14ac:dyDescent="0.3">
      <c r="A361" t="s">
        <v>413</v>
      </c>
      <c r="B361" t="s">
        <v>47</v>
      </c>
      <c r="C361" s="2">
        <v>46020.575694444437</v>
      </c>
      <c r="D361" s="2">
        <v>46020.6</v>
      </c>
      <c r="E361">
        <v>0.58333333333333337</v>
      </c>
      <c r="F361">
        <v>15.09</v>
      </c>
      <c r="G361" t="b">
        <v>0</v>
      </c>
      <c r="H361" s="2">
        <v>46020</v>
      </c>
      <c r="I361">
        <v>13</v>
      </c>
      <c r="J361" t="s">
        <v>54</v>
      </c>
      <c r="K361">
        <v>0</v>
      </c>
      <c r="L361" t="s">
        <v>27</v>
      </c>
      <c r="M361">
        <v>0.58333333333333337</v>
      </c>
      <c r="N361" t="s">
        <v>49</v>
      </c>
      <c r="O361">
        <v>50</v>
      </c>
      <c r="P361" t="s">
        <v>50</v>
      </c>
      <c r="Q361">
        <v>0</v>
      </c>
      <c r="R361">
        <v>0</v>
      </c>
      <c r="S361">
        <v>1</v>
      </c>
      <c r="T361">
        <v>31.2</v>
      </c>
      <c r="U361">
        <v>15.09</v>
      </c>
      <c r="V361" t="s">
        <v>38</v>
      </c>
      <c r="W361">
        <v>0</v>
      </c>
      <c r="X361" t="s">
        <v>59</v>
      </c>
    </row>
    <row r="362" spans="1:24" x14ac:dyDescent="0.3">
      <c r="A362" t="s">
        <v>414</v>
      </c>
      <c r="B362" t="s">
        <v>47</v>
      </c>
      <c r="C362" s="2">
        <v>46021.586111111108</v>
      </c>
      <c r="D362" s="2">
        <v>46021.744444444441</v>
      </c>
      <c r="E362">
        <v>3.8</v>
      </c>
      <c r="F362">
        <v>56.86</v>
      </c>
      <c r="G362" t="b">
        <v>0</v>
      </c>
      <c r="H362" s="2">
        <v>46021</v>
      </c>
      <c r="I362">
        <v>14</v>
      </c>
      <c r="J362" t="s">
        <v>56</v>
      </c>
      <c r="K362">
        <v>0</v>
      </c>
      <c r="L362" t="s">
        <v>27</v>
      </c>
      <c r="M362">
        <v>3.8</v>
      </c>
      <c r="N362" t="s">
        <v>49</v>
      </c>
      <c r="O362">
        <v>50</v>
      </c>
      <c r="P362" t="s">
        <v>50</v>
      </c>
      <c r="Q362">
        <v>0</v>
      </c>
      <c r="R362">
        <v>0</v>
      </c>
      <c r="S362">
        <v>1</v>
      </c>
      <c r="T362">
        <v>26.9</v>
      </c>
      <c r="U362">
        <v>56.86</v>
      </c>
      <c r="V362" t="s">
        <v>38</v>
      </c>
      <c r="W362">
        <v>0</v>
      </c>
      <c r="X362" t="s">
        <v>59</v>
      </c>
    </row>
    <row r="363" spans="1:24" x14ac:dyDescent="0.3">
      <c r="A363" t="s">
        <v>415</v>
      </c>
      <c r="B363" t="s">
        <v>61</v>
      </c>
      <c r="C363" s="2">
        <v>46022.92083333333</v>
      </c>
      <c r="D363" s="2">
        <v>46022.993750000001</v>
      </c>
      <c r="E363">
        <v>1.75</v>
      </c>
      <c r="F363">
        <v>29.3</v>
      </c>
      <c r="G363" t="b">
        <v>0</v>
      </c>
      <c r="H363" s="2">
        <v>46022</v>
      </c>
      <c r="I363">
        <v>22</v>
      </c>
      <c r="J363" t="s">
        <v>26</v>
      </c>
      <c r="K363">
        <v>0</v>
      </c>
      <c r="L363" t="s">
        <v>66</v>
      </c>
      <c r="M363">
        <v>1.75</v>
      </c>
      <c r="N363" t="s">
        <v>62</v>
      </c>
      <c r="O363">
        <v>80</v>
      </c>
      <c r="P363" t="s">
        <v>37</v>
      </c>
      <c r="Q363">
        <v>0</v>
      </c>
      <c r="R363">
        <v>0</v>
      </c>
      <c r="S363">
        <v>0</v>
      </c>
      <c r="T363">
        <v>30</v>
      </c>
      <c r="U363">
        <v>29.3</v>
      </c>
      <c r="V363" t="s">
        <v>38</v>
      </c>
      <c r="W363">
        <v>0</v>
      </c>
      <c r="X363" t="s">
        <v>31</v>
      </c>
    </row>
    <row r="364" spans="1:24" x14ac:dyDescent="0.3">
      <c r="A364" t="s">
        <v>416</v>
      </c>
      <c r="B364" t="s">
        <v>25</v>
      </c>
      <c r="C364" s="2">
        <v>46023.799305555563</v>
      </c>
      <c r="D364" s="2">
        <v>46023.847222222219</v>
      </c>
      <c r="E364">
        <v>1.1499999999999999</v>
      </c>
      <c r="F364">
        <v>21.78</v>
      </c>
      <c r="G364" t="b">
        <v>0</v>
      </c>
      <c r="H364" s="2">
        <v>46023</v>
      </c>
      <c r="I364">
        <v>19</v>
      </c>
      <c r="J364" t="s">
        <v>34</v>
      </c>
      <c r="K364">
        <v>0</v>
      </c>
      <c r="L364" t="s">
        <v>42</v>
      </c>
      <c r="M364">
        <v>1.1499999999999999</v>
      </c>
      <c r="N364" t="s">
        <v>28</v>
      </c>
      <c r="O364">
        <v>70</v>
      </c>
      <c r="P364" t="s">
        <v>29</v>
      </c>
      <c r="Q364">
        <v>0</v>
      </c>
      <c r="R364">
        <v>0</v>
      </c>
      <c r="S364">
        <v>0</v>
      </c>
      <c r="T364">
        <v>34.9</v>
      </c>
      <c r="U364">
        <v>21.78</v>
      </c>
      <c r="V364" t="s">
        <v>30</v>
      </c>
      <c r="W364">
        <v>0</v>
      </c>
      <c r="X364" t="s">
        <v>31</v>
      </c>
    </row>
    <row r="365" spans="1:24" x14ac:dyDescent="0.3">
      <c r="A365" t="s">
        <v>417</v>
      </c>
      <c r="B365" t="s">
        <v>25</v>
      </c>
      <c r="C365" s="2">
        <v>46024.750694444447</v>
      </c>
      <c r="D365" s="2">
        <v>46024.887499999997</v>
      </c>
      <c r="E365">
        <v>3.2833333333333332</v>
      </c>
      <c r="F365">
        <v>50.08</v>
      </c>
      <c r="G365" t="b">
        <v>0</v>
      </c>
      <c r="H365" s="2">
        <v>46024</v>
      </c>
      <c r="I365">
        <v>18</v>
      </c>
      <c r="J365" t="s">
        <v>41</v>
      </c>
      <c r="K365">
        <v>0</v>
      </c>
      <c r="L365" t="s">
        <v>42</v>
      </c>
      <c r="M365">
        <v>3.2833333333333332</v>
      </c>
      <c r="N365" t="s">
        <v>28</v>
      </c>
      <c r="O365">
        <v>70</v>
      </c>
      <c r="P365" t="s">
        <v>29</v>
      </c>
      <c r="Q365">
        <v>0</v>
      </c>
      <c r="R365">
        <v>0</v>
      </c>
      <c r="S365">
        <v>1</v>
      </c>
      <c r="T365">
        <v>28.8</v>
      </c>
      <c r="U365">
        <v>50.08</v>
      </c>
      <c r="V365" t="s">
        <v>38</v>
      </c>
      <c r="W365">
        <v>0</v>
      </c>
      <c r="X365" t="s">
        <v>59</v>
      </c>
    </row>
    <row r="366" spans="1:24" x14ac:dyDescent="0.3">
      <c r="A366" t="s">
        <v>418</v>
      </c>
      <c r="B366" t="s">
        <v>25</v>
      </c>
      <c r="C366" s="2">
        <v>46025.522916666669</v>
      </c>
      <c r="D366" s="2">
        <v>46025.693055555559</v>
      </c>
      <c r="E366">
        <v>4.083333333333333</v>
      </c>
      <c r="F366">
        <v>70.56</v>
      </c>
      <c r="G366" t="b">
        <v>0</v>
      </c>
      <c r="H366" s="2">
        <v>46025</v>
      </c>
      <c r="I366">
        <v>12</v>
      </c>
      <c r="J366" t="s">
        <v>48</v>
      </c>
      <c r="K366">
        <v>1</v>
      </c>
      <c r="L366" t="s">
        <v>27</v>
      </c>
      <c r="M366">
        <v>4.083333333333333</v>
      </c>
      <c r="N366" t="s">
        <v>28</v>
      </c>
      <c r="O366">
        <v>70</v>
      </c>
      <c r="P366" t="s">
        <v>29</v>
      </c>
      <c r="Q366">
        <v>1</v>
      </c>
      <c r="R366">
        <v>0</v>
      </c>
      <c r="S366">
        <v>0</v>
      </c>
      <c r="T366">
        <v>27.9</v>
      </c>
      <c r="U366">
        <v>70.56</v>
      </c>
      <c r="V366" t="s">
        <v>38</v>
      </c>
      <c r="W366">
        <v>0</v>
      </c>
      <c r="X366" t="s">
        <v>31</v>
      </c>
    </row>
    <row r="367" spans="1:24" x14ac:dyDescent="0.3">
      <c r="A367" t="s">
        <v>419</v>
      </c>
      <c r="B367" t="s">
        <v>25</v>
      </c>
      <c r="C367" s="2">
        <v>46026.521527777782</v>
      </c>
      <c r="D367" s="2">
        <v>46026.655555555553</v>
      </c>
      <c r="E367">
        <v>3.2166666666666668</v>
      </c>
      <c r="F367">
        <v>59.87</v>
      </c>
      <c r="G367" t="b">
        <v>0</v>
      </c>
      <c r="H367" s="2">
        <v>46026</v>
      </c>
      <c r="I367">
        <v>12</v>
      </c>
      <c r="J367" t="s">
        <v>52</v>
      </c>
      <c r="K367">
        <v>1</v>
      </c>
      <c r="L367" t="s">
        <v>27</v>
      </c>
      <c r="M367">
        <v>3.2166666666666668</v>
      </c>
      <c r="N367" t="s">
        <v>28</v>
      </c>
      <c r="O367">
        <v>70</v>
      </c>
      <c r="P367" t="s">
        <v>29</v>
      </c>
      <c r="Q367">
        <v>1</v>
      </c>
      <c r="R367">
        <v>0</v>
      </c>
      <c r="S367">
        <v>1</v>
      </c>
      <c r="T367">
        <v>32.6</v>
      </c>
      <c r="U367">
        <v>59.87</v>
      </c>
      <c r="V367" t="s">
        <v>30</v>
      </c>
      <c r="W367">
        <v>0</v>
      </c>
      <c r="X367" t="s">
        <v>59</v>
      </c>
    </row>
    <row r="368" spans="1:24" x14ac:dyDescent="0.3">
      <c r="A368" t="s">
        <v>420</v>
      </c>
      <c r="B368" t="s">
        <v>47</v>
      </c>
      <c r="C368" s="2">
        <v>46027.793055555558</v>
      </c>
      <c r="D368" s="2">
        <v>46027.965277777781</v>
      </c>
      <c r="E368">
        <v>4.1333333333333337</v>
      </c>
      <c r="F368">
        <v>74.55</v>
      </c>
      <c r="G368" t="b">
        <v>0</v>
      </c>
      <c r="H368" s="2">
        <v>46027</v>
      </c>
      <c r="I368">
        <v>19</v>
      </c>
      <c r="J368" t="s">
        <v>54</v>
      </c>
      <c r="K368">
        <v>0</v>
      </c>
      <c r="L368" t="s">
        <v>42</v>
      </c>
      <c r="M368">
        <v>4.1333333333333337</v>
      </c>
      <c r="N368" t="s">
        <v>49</v>
      </c>
      <c r="O368">
        <v>50</v>
      </c>
      <c r="P368" t="s">
        <v>50</v>
      </c>
      <c r="Q368">
        <v>0</v>
      </c>
      <c r="R368">
        <v>0</v>
      </c>
      <c r="S368">
        <v>0</v>
      </c>
      <c r="T368">
        <v>27</v>
      </c>
      <c r="U368">
        <v>74.55</v>
      </c>
      <c r="V368" t="s">
        <v>30</v>
      </c>
      <c r="W368">
        <v>0</v>
      </c>
      <c r="X368" t="s">
        <v>31</v>
      </c>
    </row>
    <row r="369" spans="1:24" x14ac:dyDescent="0.3">
      <c r="A369" t="s">
        <v>421</v>
      </c>
      <c r="B369" t="s">
        <v>33</v>
      </c>
      <c r="C369" s="2">
        <v>46028.665277777778</v>
      </c>
      <c r="D369" s="2">
        <v>46028.844444444447</v>
      </c>
      <c r="E369">
        <v>4.3</v>
      </c>
      <c r="F369">
        <v>73.430000000000007</v>
      </c>
      <c r="G369" t="b">
        <v>0</v>
      </c>
      <c r="H369" s="2">
        <v>46028</v>
      </c>
      <c r="I369">
        <v>15</v>
      </c>
      <c r="J369" t="s">
        <v>56</v>
      </c>
      <c r="K369">
        <v>0</v>
      </c>
      <c r="L369" t="s">
        <v>27</v>
      </c>
      <c r="M369">
        <v>4.3</v>
      </c>
      <c r="N369" t="s">
        <v>36</v>
      </c>
      <c r="O369">
        <v>60</v>
      </c>
      <c r="P369" t="s">
        <v>37</v>
      </c>
      <c r="Q369">
        <v>0</v>
      </c>
      <c r="R369">
        <v>0</v>
      </c>
      <c r="S369">
        <v>0</v>
      </c>
      <c r="T369">
        <v>31.7</v>
      </c>
      <c r="U369">
        <v>73.430000000000007</v>
      </c>
      <c r="V369" t="s">
        <v>30</v>
      </c>
      <c r="W369">
        <v>0</v>
      </c>
      <c r="X369" t="s">
        <v>31</v>
      </c>
    </row>
    <row r="370" spans="1:24" x14ac:dyDescent="0.3">
      <c r="A370" t="s">
        <v>422</v>
      </c>
      <c r="B370" t="s">
        <v>25</v>
      </c>
      <c r="C370" s="2">
        <v>46029.599305555559</v>
      </c>
      <c r="D370" s="2">
        <v>46029.638194444437</v>
      </c>
      <c r="E370">
        <v>0.93333333333333335</v>
      </c>
      <c r="F370">
        <v>10</v>
      </c>
      <c r="G370" t="b">
        <v>0</v>
      </c>
      <c r="H370" s="2">
        <v>46029</v>
      </c>
      <c r="I370">
        <v>14</v>
      </c>
      <c r="J370" t="s">
        <v>26</v>
      </c>
      <c r="K370">
        <v>0</v>
      </c>
      <c r="L370" t="s">
        <v>27</v>
      </c>
      <c r="M370">
        <v>0.93333333333333335</v>
      </c>
      <c r="N370" t="s">
        <v>28</v>
      </c>
      <c r="O370">
        <v>70</v>
      </c>
      <c r="P370" t="s">
        <v>29</v>
      </c>
      <c r="Q370">
        <v>0</v>
      </c>
      <c r="R370">
        <v>0</v>
      </c>
      <c r="S370">
        <v>0</v>
      </c>
      <c r="T370">
        <v>24.8</v>
      </c>
      <c r="U370">
        <v>10</v>
      </c>
      <c r="V370" t="s">
        <v>38</v>
      </c>
      <c r="W370">
        <v>0</v>
      </c>
      <c r="X370" t="s">
        <v>31</v>
      </c>
    </row>
    <row r="371" spans="1:24" x14ac:dyDescent="0.3">
      <c r="A371" t="s">
        <v>423</v>
      </c>
      <c r="B371" t="s">
        <v>47</v>
      </c>
      <c r="C371" s="2">
        <v>46030.522916666669</v>
      </c>
      <c r="D371" s="2">
        <v>46030.613888888889</v>
      </c>
      <c r="E371">
        <v>2.1833333333333331</v>
      </c>
      <c r="F371">
        <v>38.729999999999997</v>
      </c>
      <c r="G371" t="b">
        <v>0</v>
      </c>
      <c r="H371" s="2">
        <v>46030</v>
      </c>
      <c r="I371">
        <v>12</v>
      </c>
      <c r="J371" t="s">
        <v>34</v>
      </c>
      <c r="K371">
        <v>0</v>
      </c>
      <c r="L371" t="s">
        <v>27</v>
      </c>
      <c r="M371">
        <v>2.1833333333333331</v>
      </c>
      <c r="N371" t="s">
        <v>49</v>
      </c>
      <c r="O371">
        <v>50</v>
      </c>
      <c r="P371" t="s">
        <v>50</v>
      </c>
      <c r="Q371">
        <v>0</v>
      </c>
      <c r="R371">
        <v>0</v>
      </c>
      <c r="S371">
        <v>0</v>
      </c>
      <c r="T371">
        <v>29.7</v>
      </c>
      <c r="U371">
        <v>38.729999999999997</v>
      </c>
      <c r="V371" t="s">
        <v>38</v>
      </c>
      <c r="W371">
        <v>0</v>
      </c>
      <c r="X371" t="s">
        <v>31</v>
      </c>
    </row>
    <row r="372" spans="1:24" x14ac:dyDescent="0.3">
      <c r="A372" t="s">
        <v>424</v>
      </c>
      <c r="B372" t="s">
        <v>61</v>
      </c>
      <c r="C372" s="2">
        <v>46031.627083333333</v>
      </c>
      <c r="D372" s="2">
        <v>46031.749305555553</v>
      </c>
      <c r="E372">
        <v>2.9333333333333331</v>
      </c>
      <c r="F372">
        <v>35.31</v>
      </c>
      <c r="G372" t="b">
        <v>0</v>
      </c>
      <c r="H372" s="2">
        <v>46031</v>
      </c>
      <c r="I372">
        <v>15</v>
      </c>
      <c r="J372" t="s">
        <v>41</v>
      </c>
      <c r="K372">
        <v>0</v>
      </c>
      <c r="L372" t="s">
        <v>27</v>
      </c>
      <c r="M372">
        <v>2.9333333333333331</v>
      </c>
      <c r="N372" t="s">
        <v>62</v>
      </c>
      <c r="O372">
        <v>80</v>
      </c>
      <c r="P372" t="s">
        <v>37</v>
      </c>
      <c r="Q372">
        <v>0</v>
      </c>
      <c r="R372">
        <v>0</v>
      </c>
      <c r="S372">
        <v>0</v>
      </c>
      <c r="T372">
        <v>30.3</v>
      </c>
      <c r="U372">
        <v>35.31</v>
      </c>
      <c r="V372" t="s">
        <v>38</v>
      </c>
      <c r="W372">
        <v>0</v>
      </c>
      <c r="X372" t="s">
        <v>31</v>
      </c>
    </row>
    <row r="373" spans="1:24" x14ac:dyDescent="0.3">
      <c r="A373" t="s">
        <v>425</v>
      </c>
      <c r="B373" t="s">
        <v>47</v>
      </c>
      <c r="C373" s="2">
        <v>46032.342361111107</v>
      </c>
      <c r="D373" s="2">
        <v>46032.458333333343</v>
      </c>
      <c r="E373">
        <v>2.7833333333333332</v>
      </c>
      <c r="F373">
        <v>39.24</v>
      </c>
      <c r="G373" t="b">
        <v>0</v>
      </c>
      <c r="H373" s="2">
        <v>46032</v>
      </c>
      <c r="I373">
        <v>8</v>
      </c>
      <c r="J373" t="s">
        <v>48</v>
      </c>
      <c r="K373">
        <v>1</v>
      </c>
      <c r="L373" t="s">
        <v>35</v>
      </c>
      <c r="M373">
        <v>2.7833333333333332</v>
      </c>
      <c r="N373" t="s">
        <v>49</v>
      </c>
      <c r="O373">
        <v>50</v>
      </c>
      <c r="P373" t="s">
        <v>50</v>
      </c>
      <c r="Q373">
        <v>1</v>
      </c>
      <c r="R373">
        <v>0</v>
      </c>
      <c r="S373">
        <v>0</v>
      </c>
      <c r="T373">
        <v>30.4</v>
      </c>
      <c r="U373">
        <v>39.24</v>
      </c>
      <c r="V373" t="s">
        <v>30</v>
      </c>
      <c r="W373">
        <v>0</v>
      </c>
      <c r="X373" t="s">
        <v>31</v>
      </c>
    </row>
    <row r="374" spans="1:24" x14ac:dyDescent="0.3">
      <c r="A374" t="s">
        <v>426</v>
      </c>
      <c r="B374" t="s">
        <v>40</v>
      </c>
      <c r="C374" s="2">
        <v>46033.920138888891</v>
      </c>
      <c r="D374" s="2">
        <v>46033.95</v>
      </c>
      <c r="E374">
        <v>0.71666666666666667</v>
      </c>
      <c r="F374">
        <v>10.19</v>
      </c>
      <c r="G374" t="b">
        <v>0</v>
      </c>
      <c r="H374" s="2">
        <v>46033</v>
      </c>
      <c r="I374">
        <v>22</v>
      </c>
      <c r="J374" t="s">
        <v>52</v>
      </c>
      <c r="K374">
        <v>1</v>
      </c>
      <c r="L374" t="s">
        <v>66</v>
      </c>
      <c r="M374">
        <v>0.71666666666666667</v>
      </c>
      <c r="N374" t="s">
        <v>43</v>
      </c>
      <c r="O374">
        <v>100</v>
      </c>
      <c r="P374" t="s">
        <v>44</v>
      </c>
      <c r="Q374">
        <v>1</v>
      </c>
      <c r="R374">
        <v>0</v>
      </c>
      <c r="S374">
        <v>0</v>
      </c>
      <c r="T374">
        <v>28.3</v>
      </c>
      <c r="U374">
        <v>10.19</v>
      </c>
      <c r="V374" t="s">
        <v>45</v>
      </c>
      <c r="W374">
        <v>0</v>
      </c>
      <c r="X374" t="s">
        <v>31</v>
      </c>
    </row>
    <row r="375" spans="1:24" x14ac:dyDescent="0.3">
      <c r="A375" t="s">
        <v>427</v>
      </c>
      <c r="B375" t="s">
        <v>47</v>
      </c>
      <c r="C375" s="2">
        <v>46034.405555555553</v>
      </c>
      <c r="D375" s="2">
        <v>46034.505555555559</v>
      </c>
      <c r="E375">
        <v>2.4</v>
      </c>
      <c r="F375">
        <v>39.61</v>
      </c>
      <c r="G375" t="b">
        <v>0</v>
      </c>
      <c r="H375" s="2">
        <v>46034</v>
      </c>
      <c r="I375">
        <v>9</v>
      </c>
      <c r="J375" t="s">
        <v>54</v>
      </c>
      <c r="K375">
        <v>0</v>
      </c>
      <c r="L375" t="s">
        <v>35</v>
      </c>
      <c r="M375">
        <v>2.4</v>
      </c>
      <c r="N375" t="s">
        <v>49</v>
      </c>
      <c r="O375">
        <v>50</v>
      </c>
      <c r="P375" t="s">
        <v>50</v>
      </c>
      <c r="Q375">
        <v>0</v>
      </c>
      <c r="R375">
        <v>0</v>
      </c>
      <c r="S375">
        <v>0</v>
      </c>
      <c r="T375">
        <v>29.2</v>
      </c>
      <c r="U375">
        <v>39.61</v>
      </c>
      <c r="V375" t="s">
        <v>30</v>
      </c>
      <c r="W375">
        <v>0</v>
      </c>
      <c r="X375" t="s">
        <v>31</v>
      </c>
    </row>
    <row r="376" spans="1:24" x14ac:dyDescent="0.3">
      <c r="A376" t="s">
        <v>428</v>
      </c>
      <c r="B376" t="s">
        <v>61</v>
      </c>
      <c r="C376" s="2">
        <v>46035.597222222219</v>
      </c>
      <c r="D376" s="2">
        <v>46035.743750000001</v>
      </c>
      <c r="E376">
        <v>3.5166666666666671</v>
      </c>
      <c r="F376">
        <v>58</v>
      </c>
      <c r="G376" t="b">
        <v>0</v>
      </c>
      <c r="H376" s="2">
        <v>46035</v>
      </c>
      <c r="I376">
        <v>14</v>
      </c>
      <c r="J376" t="s">
        <v>56</v>
      </c>
      <c r="K376">
        <v>0</v>
      </c>
      <c r="L376" t="s">
        <v>27</v>
      </c>
      <c r="M376">
        <v>3.5166666666666671</v>
      </c>
      <c r="N376" t="s">
        <v>62</v>
      </c>
      <c r="O376">
        <v>80</v>
      </c>
      <c r="P376" t="s">
        <v>37</v>
      </c>
      <c r="Q376">
        <v>0</v>
      </c>
      <c r="R376">
        <v>0</v>
      </c>
      <c r="S376">
        <v>0</v>
      </c>
      <c r="T376">
        <v>33.5</v>
      </c>
      <c r="U376">
        <v>58</v>
      </c>
      <c r="V376" t="s">
        <v>38</v>
      </c>
      <c r="W376">
        <v>0</v>
      </c>
      <c r="X376" t="s">
        <v>31</v>
      </c>
    </row>
    <row r="377" spans="1:24" x14ac:dyDescent="0.3">
      <c r="A377" t="s">
        <v>429</v>
      </c>
      <c r="B377" t="s">
        <v>61</v>
      </c>
      <c r="C377" s="2">
        <v>46036.311111111107</v>
      </c>
      <c r="D377" s="2">
        <v>46036.59375</v>
      </c>
      <c r="E377">
        <v>6.7833333333333332</v>
      </c>
      <c r="F377">
        <v>107.22</v>
      </c>
      <c r="G377" t="b">
        <v>0</v>
      </c>
      <c r="H377" s="2">
        <v>46036</v>
      </c>
      <c r="I377">
        <v>7</v>
      </c>
      <c r="J377" t="s">
        <v>26</v>
      </c>
      <c r="K377">
        <v>0</v>
      </c>
      <c r="L377" t="s">
        <v>35</v>
      </c>
      <c r="M377">
        <v>6.7833333333333332</v>
      </c>
      <c r="N377" t="s">
        <v>62</v>
      </c>
      <c r="O377">
        <v>80</v>
      </c>
      <c r="P377" t="s">
        <v>37</v>
      </c>
      <c r="Q377">
        <v>0</v>
      </c>
      <c r="R377">
        <v>0</v>
      </c>
      <c r="S377">
        <v>0</v>
      </c>
      <c r="T377">
        <v>29</v>
      </c>
      <c r="U377">
        <v>107.22</v>
      </c>
      <c r="V377" t="s">
        <v>30</v>
      </c>
      <c r="W377">
        <v>0</v>
      </c>
      <c r="X377" t="s">
        <v>31</v>
      </c>
    </row>
    <row r="378" spans="1:24" x14ac:dyDescent="0.3">
      <c r="A378" t="s">
        <v>430</v>
      </c>
      <c r="B378" t="s">
        <v>47</v>
      </c>
      <c r="C378" s="2">
        <v>46037.715277777781</v>
      </c>
      <c r="D378" s="2">
        <v>46037.79583333333</v>
      </c>
      <c r="E378">
        <v>1.9333333333333329</v>
      </c>
      <c r="F378">
        <v>28.49</v>
      </c>
      <c r="G378" t="b">
        <v>0</v>
      </c>
      <c r="H378" s="2">
        <v>46037</v>
      </c>
      <c r="I378">
        <v>17</v>
      </c>
      <c r="J378" t="s">
        <v>34</v>
      </c>
      <c r="K378">
        <v>0</v>
      </c>
      <c r="L378" t="s">
        <v>42</v>
      </c>
      <c r="M378">
        <v>1.9333333333333329</v>
      </c>
      <c r="N378" t="s">
        <v>49</v>
      </c>
      <c r="O378">
        <v>50</v>
      </c>
      <c r="P378" t="s">
        <v>50</v>
      </c>
      <c r="Q378">
        <v>1</v>
      </c>
      <c r="R378">
        <v>0</v>
      </c>
      <c r="S378">
        <v>0</v>
      </c>
      <c r="T378">
        <v>29.1</v>
      </c>
      <c r="U378">
        <v>28.49</v>
      </c>
      <c r="V378" t="s">
        <v>45</v>
      </c>
      <c r="W378">
        <v>0</v>
      </c>
      <c r="X378" t="s">
        <v>31</v>
      </c>
    </row>
    <row r="379" spans="1:24" x14ac:dyDescent="0.3">
      <c r="A379" t="s">
        <v>431</v>
      </c>
      <c r="B379" t="s">
        <v>47</v>
      </c>
      <c r="C379" s="2">
        <v>46038.361805555563</v>
      </c>
      <c r="D379" s="2">
        <v>46038.397222222222</v>
      </c>
      <c r="E379">
        <v>0.85</v>
      </c>
      <c r="F379">
        <v>10</v>
      </c>
      <c r="G379" t="b">
        <v>0</v>
      </c>
      <c r="H379" s="2">
        <v>46038</v>
      </c>
      <c r="I379">
        <v>8</v>
      </c>
      <c r="J379" t="s">
        <v>41</v>
      </c>
      <c r="K379">
        <v>0</v>
      </c>
      <c r="L379" t="s">
        <v>35</v>
      </c>
      <c r="M379">
        <v>0.85</v>
      </c>
      <c r="N379" t="s">
        <v>49</v>
      </c>
      <c r="O379">
        <v>50</v>
      </c>
      <c r="P379" t="s">
        <v>50</v>
      </c>
      <c r="Q379">
        <v>0</v>
      </c>
      <c r="R379">
        <v>0</v>
      </c>
      <c r="S379">
        <v>1</v>
      </c>
      <c r="T379">
        <v>32</v>
      </c>
      <c r="U379">
        <v>10</v>
      </c>
      <c r="V379" t="s">
        <v>30</v>
      </c>
      <c r="W379">
        <v>0</v>
      </c>
      <c r="X379" t="s">
        <v>59</v>
      </c>
    </row>
    <row r="380" spans="1:24" x14ac:dyDescent="0.3">
      <c r="A380" t="s">
        <v>432</v>
      </c>
      <c r="B380" t="s">
        <v>33</v>
      </c>
      <c r="C380" s="2">
        <v>46039.761111111111</v>
      </c>
      <c r="D380" s="2">
        <v>46039.802083333343</v>
      </c>
      <c r="E380">
        <v>0.98333333333333328</v>
      </c>
      <c r="F380">
        <v>10</v>
      </c>
      <c r="G380" t="b">
        <v>0</v>
      </c>
      <c r="H380" s="2">
        <v>46039</v>
      </c>
      <c r="I380">
        <v>18</v>
      </c>
      <c r="J380" t="s">
        <v>48</v>
      </c>
      <c r="K380">
        <v>1</v>
      </c>
      <c r="L380" t="s">
        <v>42</v>
      </c>
      <c r="M380">
        <v>0.98333333333333328</v>
      </c>
      <c r="N380" t="s">
        <v>36</v>
      </c>
      <c r="O380">
        <v>60</v>
      </c>
      <c r="P380" t="s">
        <v>37</v>
      </c>
      <c r="Q380">
        <v>1</v>
      </c>
      <c r="R380">
        <v>0</v>
      </c>
      <c r="S380">
        <v>0</v>
      </c>
      <c r="T380">
        <v>25.9</v>
      </c>
      <c r="U380">
        <v>10</v>
      </c>
      <c r="V380" t="s">
        <v>45</v>
      </c>
      <c r="W380">
        <v>0</v>
      </c>
      <c r="X380" t="s">
        <v>31</v>
      </c>
    </row>
    <row r="381" spans="1:24" x14ac:dyDescent="0.3">
      <c r="A381" t="s">
        <v>433</v>
      </c>
      <c r="B381" t="s">
        <v>33</v>
      </c>
      <c r="C381" s="2">
        <v>46040.895833333343</v>
      </c>
      <c r="D381" s="2">
        <v>46040.969444444447</v>
      </c>
      <c r="E381">
        <v>1.7666666666666671</v>
      </c>
      <c r="F381">
        <v>25.52</v>
      </c>
      <c r="G381" t="b">
        <v>0</v>
      </c>
      <c r="H381" s="2">
        <v>46040</v>
      </c>
      <c r="I381">
        <v>21</v>
      </c>
      <c r="J381" t="s">
        <v>52</v>
      </c>
      <c r="K381">
        <v>1</v>
      </c>
      <c r="L381" t="s">
        <v>66</v>
      </c>
      <c r="M381">
        <v>1.7666666666666671</v>
      </c>
      <c r="N381" t="s">
        <v>36</v>
      </c>
      <c r="O381">
        <v>60</v>
      </c>
      <c r="P381" t="s">
        <v>37</v>
      </c>
      <c r="Q381">
        <v>1</v>
      </c>
      <c r="R381">
        <v>0</v>
      </c>
      <c r="S381">
        <v>1</v>
      </c>
      <c r="T381">
        <v>23.9</v>
      </c>
      <c r="U381">
        <v>25.52</v>
      </c>
      <c r="V381" t="s">
        <v>45</v>
      </c>
      <c r="W381">
        <v>0</v>
      </c>
      <c r="X381" t="s">
        <v>59</v>
      </c>
    </row>
    <row r="382" spans="1:24" x14ac:dyDescent="0.3">
      <c r="A382" t="s">
        <v>434</v>
      </c>
      <c r="B382" t="s">
        <v>40</v>
      </c>
      <c r="C382" s="2">
        <v>46041.510416666657</v>
      </c>
      <c r="D382" s="2">
        <v>46041.572916666657</v>
      </c>
      <c r="E382">
        <v>1.5</v>
      </c>
      <c r="F382">
        <v>22.46</v>
      </c>
      <c r="G382" t="b">
        <v>0</v>
      </c>
      <c r="H382" s="2">
        <v>46041</v>
      </c>
      <c r="I382">
        <v>12</v>
      </c>
      <c r="J382" t="s">
        <v>54</v>
      </c>
      <c r="K382">
        <v>0</v>
      </c>
      <c r="L382" t="s">
        <v>27</v>
      </c>
      <c r="M382">
        <v>1.5</v>
      </c>
      <c r="N382" t="s">
        <v>43</v>
      </c>
      <c r="O382">
        <v>100</v>
      </c>
      <c r="P382" t="s">
        <v>44</v>
      </c>
      <c r="Q382">
        <v>0</v>
      </c>
      <c r="R382">
        <v>0</v>
      </c>
      <c r="S382">
        <v>0</v>
      </c>
      <c r="T382">
        <v>29.9</v>
      </c>
      <c r="U382">
        <v>22.46</v>
      </c>
      <c r="V382" t="s">
        <v>30</v>
      </c>
      <c r="W382">
        <v>0</v>
      </c>
      <c r="X382" t="s">
        <v>31</v>
      </c>
    </row>
    <row r="383" spans="1:24" x14ac:dyDescent="0.3">
      <c r="A383" t="s">
        <v>435</v>
      </c>
      <c r="B383" t="s">
        <v>25</v>
      </c>
      <c r="C383" s="2">
        <v>46042.484027777777</v>
      </c>
      <c r="D383" s="2">
        <v>46042.563888888893</v>
      </c>
      <c r="E383">
        <v>1.916666666666667</v>
      </c>
      <c r="F383">
        <v>27.78</v>
      </c>
      <c r="G383" t="b">
        <v>0</v>
      </c>
      <c r="H383" s="2">
        <v>46042</v>
      </c>
      <c r="I383">
        <v>11</v>
      </c>
      <c r="J383" t="s">
        <v>56</v>
      </c>
      <c r="K383">
        <v>0</v>
      </c>
      <c r="L383" t="s">
        <v>35</v>
      </c>
      <c r="M383">
        <v>1.916666666666667</v>
      </c>
      <c r="N383" t="s">
        <v>28</v>
      </c>
      <c r="O383">
        <v>70</v>
      </c>
      <c r="P383" t="s">
        <v>29</v>
      </c>
      <c r="Q383">
        <v>0</v>
      </c>
      <c r="R383">
        <v>0</v>
      </c>
      <c r="S383">
        <v>0</v>
      </c>
      <c r="T383">
        <v>30.8</v>
      </c>
      <c r="U383">
        <v>27.78</v>
      </c>
      <c r="V383" t="s">
        <v>38</v>
      </c>
      <c r="W383">
        <v>0</v>
      </c>
      <c r="X383" t="s">
        <v>31</v>
      </c>
    </row>
    <row r="384" spans="1:24" x14ac:dyDescent="0.3">
      <c r="A384" t="s">
        <v>436</v>
      </c>
      <c r="B384" t="s">
        <v>25</v>
      </c>
      <c r="C384" s="2">
        <v>46043.759722222218</v>
      </c>
      <c r="D384" s="2">
        <v>46043.82708333333</v>
      </c>
      <c r="E384">
        <v>1.6166666666666669</v>
      </c>
      <c r="F384">
        <v>26.76</v>
      </c>
      <c r="G384" t="b">
        <v>0</v>
      </c>
      <c r="H384" s="2">
        <v>46043</v>
      </c>
      <c r="I384">
        <v>18</v>
      </c>
      <c r="J384" t="s">
        <v>26</v>
      </c>
      <c r="K384">
        <v>0</v>
      </c>
      <c r="L384" t="s">
        <v>42</v>
      </c>
      <c r="M384">
        <v>1.6166666666666669</v>
      </c>
      <c r="N384" t="s">
        <v>28</v>
      </c>
      <c r="O384">
        <v>70</v>
      </c>
      <c r="P384" t="s">
        <v>29</v>
      </c>
      <c r="Q384">
        <v>0</v>
      </c>
      <c r="R384">
        <v>0</v>
      </c>
      <c r="S384">
        <v>0</v>
      </c>
      <c r="T384">
        <v>23.1</v>
      </c>
      <c r="U384">
        <v>26.76</v>
      </c>
      <c r="V384" t="s">
        <v>38</v>
      </c>
      <c r="W384">
        <v>0</v>
      </c>
      <c r="X384" t="s">
        <v>31</v>
      </c>
    </row>
    <row r="385" spans="1:24" x14ac:dyDescent="0.3">
      <c r="A385" t="s">
        <v>437</v>
      </c>
      <c r="B385" t="s">
        <v>61</v>
      </c>
      <c r="C385" s="2">
        <v>46044.518055555563</v>
      </c>
      <c r="D385" s="2">
        <v>46044.59375</v>
      </c>
      <c r="E385">
        <v>1.8166666666666671</v>
      </c>
      <c r="F385">
        <v>31.17</v>
      </c>
      <c r="G385" t="b">
        <v>0</v>
      </c>
      <c r="H385" s="2">
        <v>46044</v>
      </c>
      <c r="I385">
        <v>12</v>
      </c>
      <c r="J385" t="s">
        <v>34</v>
      </c>
      <c r="K385">
        <v>0</v>
      </c>
      <c r="L385" t="s">
        <v>27</v>
      </c>
      <c r="M385">
        <v>1.8166666666666671</v>
      </c>
      <c r="N385" t="s">
        <v>62</v>
      </c>
      <c r="O385">
        <v>80</v>
      </c>
      <c r="P385" t="s">
        <v>37</v>
      </c>
      <c r="Q385">
        <v>0</v>
      </c>
      <c r="R385">
        <v>0</v>
      </c>
      <c r="S385">
        <v>1</v>
      </c>
      <c r="T385">
        <v>29.1</v>
      </c>
      <c r="U385">
        <v>31.17</v>
      </c>
      <c r="V385" t="s">
        <v>38</v>
      </c>
      <c r="W385">
        <v>0</v>
      </c>
      <c r="X385" t="s">
        <v>59</v>
      </c>
    </row>
    <row r="386" spans="1:24" x14ac:dyDescent="0.3">
      <c r="A386" t="s">
        <v>438</v>
      </c>
      <c r="B386" t="s">
        <v>47</v>
      </c>
      <c r="C386" s="2">
        <v>46045.333333333343</v>
      </c>
      <c r="D386" s="2">
        <v>46045.375694444447</v>
      </c>
      <c r="E386">
        <v>1.0166666666666671</v>
      </c>
      <c r="F386">
        <v>24.31</v>
      </c>
      <c r="G386" t="b">
        <v>0</v>
      </c>
      <c r="H386" s="2">
        <v>46045</v>
      </c>
      <c r="I386">
        <v>8</v>
      </c>
      <c r="J386" t="s">
        <v>41</v>
      </c>
      <c r="K386">
        <v>0</v>
      </c>
      <c r="L386" t="s">
        <v>35</v>
      </c>
      <c r="M386">
        <v>1.0166666666666671</v>
      </c>
      <c r="N386" t="s">
        <v>49</v>
      </c>
      <c r="O386">
        <v>50</v>
      </c>
      <c r="P386" t="s">
        <v>50</v>
      </c>
      <c r="Q386">
        <v>0</v>
      </c>
      <c r="R386">
        <v>0</v>
      </c>
      <c r="S386">
        <v>0</v>
      </c>
      <c r="T386">
        <v>27.8</v>
      </c>
      <c r="U386">
        <v>24.31</v>
      </c>
      <c r="V386" t="s">
        <v>45</v>
      </c>
      <c r="W386">
        <v>0</v>
      </c>
      <c r="X386" t="s">
        <v>31</v>
      </c>
    </row>
    <row r="387" spans="1:24" x14ac:dyDescent="0.3">
      <c r="A387" t="s">
        <v>439</v>
      </c>
      <c r="B387" t="s">
        <v>61</v>
      </c>
      <c r="C387" s="2">
        <v>46046.380555555559</v>
      </c>
      <c r="D387" s="2">
        <v>46046.541666666657</v>
      </c>
      <c r="E387">
        <v>3.8666666666666671</v>
      </c>
      <c r="F387">
        <v>53.78</v>
      </c>
      <c r="G387" t="b">
        <v>0</v>
      </c>
      <c r="H387" s="2">
        <v>46046</v>
      </c>
      <c r="I387">
        <v>9</v>
      </c>
      <c r="J387" t="s">
        <v>48</v>
      </c>
      <c r="K387">
        <v>1</v>
      </c>
      <c r="L387" t="s">
        <v>35</v>
      </c>
      <c r="M387">
        <v>3.8666666666666671</v>
      </c>
      <c r="N387" t="s">
        <v>62</v>
      </c>
      <c r="O387">
        <v>80</v>
      </c>
      <c r="P387" t="s">
        <v>37</v>
      </c>
      <c r="Q387">
        <v>1</v>
      </c>
      <c r="R387">
        <v>0</v>
      </c>
      <c r="S387">
        <v>0</v>
      </c>
      <c r="T387">
        <v>29.4</v>
      </c>
      <c r="U387">
        <v>53.78</v>
      </c>
      <c r="V387" t="s">
        <v>38</v>
      </c>
      <c r="W387">
        <v>0</v>
      </c>
      <c r="X387" t="s">
        <v>31</v>
      </c>
    </row>
    <row r="388" spans="1:24" x14ac:dyDescent="0.3">
      <c r="A388" t="s">
        <v>440</v>
      </c>
      <c r="B388" t="s">
        <v>33</v>
      </c>
      <c r="C388" s="2">
        <v>46047.838888888888</v>
      </c>
      <c r="D388" s="2">
        <v>46048.004166666673</v>
      </c>
      <c r="E388">
        <v>3.9666666666666668</v>
      </c>
      <c r="F388">
        <v>55.28</v>
      </c>
      <c r="G388" t="b">
        <v>0</v>
      </c>
      <c r="H388" s="2">
        <v>46047</v>
      </c>
      <c r="I388">
        <v>20</v>
      </c>
      <c r="J388" t="s">
        <v>52</v>
      </c>
      <c r="K388">
        <v>1</v>
      </c>
      <c r="L388" t="s">
        <v>42</v>
      </c>
      <c r="M388">
        <v>3.9666666666666668</v>
      </c>
      <c r="N388" t="s">
        <v>36</v>
      </c>
      <c r="O388">
        <v>60</v>
      </c>
      <c r="P388" t="s">
        <v>37</v>
      </c>
      <c r="Q388">
        <v>1</v>
      </c>
      <c r="R388">
        <v>0</v>
      </c>
      <c r="S388">
        <v>1</v>
      </c>
      <c r="T388">
        <v>37.799999999999997</v>
      </c>
      <c r="U388">
        <v>55.28</v>
      </c>
      <c r="V388" t="s">
        <v>38</v>
      </c>
      <c r="W388">
        <v>0</v>
      </c>
      <c r="X388" t="s">
        <v>59</v>
      </c>
    </row>
    <row r="389" spans="1:24" x14ac:dyDescent="0.3">
      <c r="A389" t="s">
        <v>441</v>
      </c>
      <c r="B389" t="s">
        <v>40</v>
      </c>
      <c r="C389" s="2">
        <v>46048.609722222223</v>
      </c>
      <c r="D389" s="2">
        <v>46048.665277777778</v>
      </c>
      <c r="E389">
        <v>1.333333333333333</v>
      </c>
      <c r="F389">
        <v>23.88</v>
      </c>
      <c r="G389" t="b">
        <v>0</v>
      </c>
      <c r="H389" s="2">
        <v>46048</v>
      </c>
      <c r="I389">
        <v>14</v>
      </c>
      <c r="J389" t="s">
        <v>54</v>
      </c>
      <c r="K389">
        <v>0</v>
      </c>
      <c r="L389" t="s">
        <v>27</v>
      </c>
      <c r="M389">
        <v>1.333333333333333</v>
      </c>
      <c r="N389" t="s">
        <v>43</v>
      </c>
      <c r="O389">
        <v>100</v>
      </c>
      <c r="P389" t="s">
        <v>44</v>
      </c>
      <c r="Q389">
        <v>1</v>
      </c>
      <c r="R389">
        <v>0</v>
      </c>
      <c r="S389">
        <v>1</v>
      </c>
      <c r="T389">
        <v>28.4</v>
      </c>
      <c r="U389">
        <v>23.88</v>
      </c>
      <c r="V389" t="s">
        <v>45</v>
      </c>
      <c r="W389">
        <v>0</v>
      </c>
      <c r="X389" t="s">
        <v>59</v>
      </c>
    </row>
    <row r="390" spans="1:24" x14ac:dyDescent="0.3">
      <c r="A390" t="s">
        <v>442</v>
      </c>
      <c r="B390" t="s">
        <v>33</v>
      </c>
      <c r="C390" s="2">
        <v>46049.825694444437</v>
      </c>
      <c r="D390" s="2">
        <v>46049.86041666667</v>
      </c>
      <c r="E390">
        <v>0.83333333333333337</v>
      </c>
      <c r="F390">
        <v>10</v>
      </c>
      <c r="G390" t="b">
        <v>0</v>
      </c>
      <c r="H390" s="2">
        <v>46049</v>
      </c>
      <c r="I390">
        <v>19</v>
      </c>
      <c r="J390" t="s">
        <v>56</v>
      </c>
      <c r="K390">
        <v>0</v>
      </c>
      <c r="L390" t="s">
        <v>42</v>
      </c>
      <c r="M390">
        <v>0.83333333333333337</v>
      </c>
      <c r="N390" t="s">
        <v>36</v>
      </c>
      <c r="O390">
        <v>60</v>
      </c>
      <c r="P390" t="s">
        <v>37</v>
      </c>
      <c r="Q390">
        <v>0</v>
      </c>
      <c r="R390">
        <v>0</v>
      </c>
      <c r="S390">
        <v>0</v>
      </c>
      <c r="T390">
        <v>25.2</v>
      </c>
      <c r="U390">
        <v>10</v>
      </c>
      <c r="V390" t="s">
        <v>38</v>
      </c>
      <c r="W390">
        <v>0</v>
      </c>
      <c r="X390" t="s">
        <v>31</v>
      </c>
    </row>
    <row r="391" spans="1:24" x14ac:dyDescent="0.3">
      <c r="A391" t="s">
        <v>443</v>
      </c>
      <c r="B391" t="s">
        <v>47</v>
      </c>
      <c r="C391" s="2">
        <v>46050.541666666657</v>
      </c>
      <c r="D391" s="2">
        <v>46050.599305555559</v>
      </c>
      <c r="E391">
        <v>1.3833333333333331</v>
      </c>
      <c r="F391">
        <v>25.35</v>
      </c>
      <c r="G391" t="b">
        <v>0</v>
      </c>
      <c r="H391" s="2">
        <v>46050</v>
      </c>
      <c r="I391">
        <v>13</v>
      </c>
      <c r="J391" t="s">
        <v>26</v>
      </c>
      <c r="K391">
        <v>0</v>
      </c>
      <c r="L391" t="s">
        <v>27</v>
      </c>
      <c r="M391">
        <v>1.3833333333333331</v>
      </c>
      <c r="N391" t="s">
        <v>49</v>
      </c>
      <c r="O391">
        <v>50</v>
      </c>
      <c r="P391" t="s">
        <v>50</v>
      </c>
      <c r="Q391">
        <v>0</v>
      </c>
      <c r="R391">
        <v>0</v>
      </c>
      <c r="S391">
        <v>0</v>
      </c>
      <c r="T391">
        <v>29.4</v>
      </c>
      <c r="U391">
        <v>25.35</v>
      </c>
      <c r="V391" t="s">
        <v>30</v>
      </c>
      <c r="W391">
        <v>0</v>
      </c>
      <c r="X391" t="s">
        <v>31</v>
      </c>
    </row>
    <row r="392" spans="1:24" x14ac:dyDescent="0.3">
      <c r="A392" t="s">
        <v>444</v>
      </c>
      <c r="B392" t="s">
        <v>61</v>
      </c>
      <c r="C392" s="2">
        <v>46051.921527777777</v>
      </c>
      <c r="D392" s="2">
        <v>46051.957638888889</v>
      </c>
      <c r="E392">
        <v>0.8666666666666667</v>
      </c>
      <c r="F392">
        <v>12.27</v>
      </c>
      <c r="G392" t="b">
        <v>0</v>
      </c>
      <c r="H392" s="2">
        <v>46051</v>
      </c>
      <c r="I392">
        <v>22</v>
      </c>
      <c r="J392" t="s">
        <v>34</v>
      </c>
      <c r="K392">
        <v>0</v>
      </c>
      <c r="L392" t="s">
        <v>66</v>
      </c>
      <c r="M392">
        <v>0.8666666666666667</v>
      </c>
      <c r="N392" t="s">
        <v>62</v>
      </c>
      <c r="O392">
        <v>80</v>
      </c>
      <c r="P392" t="s">
        <v>37</v>
      </c>
      <c r="Q392">
        <v>0</v>
      </c>
      <c r="R392">
        <v>0</v>
      </c>
      <c r="S392">
        <v>1</v>
      </c>
      <c r="T392">
        <v>26.6</v>
      </c>
      <c r="U392">
        <v>12.27</v>
      </c>
      <c r="V392" t="s">
        <v>38</v>
      </c>
      <c r="W392">
        <v>0</v>
      </c>
      <c r="X392" t="s">
        <v>59</v>
      </c>
    </row>
    <row r="393" spans="1:24" x14ac:dyDescent="0.3">
      <c r="A393" t="s">
        <v>445</v>
      </c>
      <c r="B393" t="s">
        <v>61</v>
      </c>
      <c r="C393" s="2">
        <v>46052.821527777778</v>
      </c>
      <c r="D393" s="2">
        <v>46052.972916666673</v>
      </c>
      <c r="E393">
        <v>3.6333333333333329</v>
      </c>
      <c r="F393">
        <v>50.62</v>
      </c>
      <c r="G393" t="b">
        <v>0</v>
      </c>
      <c r="H393" s="2">
        <v>46052</v>
      </c>
      <c r="I393">
        <v>19</v>
      </c>
      <c r="J393" t="s">
        <v>41</v>
      </c>
      <c r="K393">
        <v>0</v>
      </c>
      <c r="L393" t="s">
        <v>42</v>
      </c>
      <c r="M393">
        <v>3.6333333333333329</v>
      </c>
      <c r="N393" t="s">
        <v>62</v>
      </c>
      <c r="O393">
        <v>80</v>
      </c>
      <c r="P393" t="s">
        <v>37</v>
      </c>
      <c r="Q393">
        <v>0</v>
      </c>
      <c r="R393">
        <v>0</v>
      </c>
      <c r="S393">
        <v>0</v>
      </c>
      <c r="T393">
        <v>31.3</v>
      </c>
      <c r="U393">
        <v>50.62</v>
      </c>
      <c r="V393" t="s">
        <v>38</v>
      </c>
      <c r="W393">
        <v>0</v>
      </c>
      <c r="X393" t="s">
        <v>31</v>
      </c>
    </row>
    <row r="394" spans="1:24" x14ac:dyDescent="0.3">
      <c r="A394" t="s">
        <v>446</v>
      </c>
      <c r="B394" t="s">
        <v>61</v>
      </c>
      <c r="C394" s="2">
        <v>46053.803472222222</v>
      </c>
      <c r="D394" s="2">
        <v>46053.861805555563</v>
      </c>
      <c r="E394">
        <v>1.4</v>
      </c>
      <c r="F394">
        <v>22.49</v>
      </c>
      <c r="G394" t="b">
        <v>0</v>
      </c>
      <c r="H394" s="2">
        <v>46053</v>
      </c>
      <c r="I394">
        <v>19</v>
      </c>
      <c r="J394" t="s">
        <v>48</v>
      </c>
      <c r="K394">
        <v>1</v>
      </c>
      <c r="L394" t="s">
        <v>42</v>
      </c>
      <c r="M394">
        <v>1.4</v>
      </c>
      <c r="N394" t="s">
        <v>62</v>
      </c>
      <c r="O394">
        <v>80</v>
      </c>
      <c r="P394" t="s">
        <v>37</v>
      </c>
      <c r="Q394">
        <v>1</v>
      </c>
      <c r="R394">
        <v>0</v>
      </c>
      <c r="S394">
        <v>0</v>
      </c>
      <c r="T394">
        <v>34.799999999999997</v>
      </c>
      <c r="U394">
        <v>22.49</v>
      </c>
      <c r="V394" t="s">
        <v>38</v>
      </c>
      <c r="W394">
        <v>0</v>
      </c>
      <c r="X394" t="s">
        <v>31</v>
      </c>
    </row>
    <row r="395" spans="1:24" x14ac:dyDescent="0.3">
      <c r="A395" t="s">
        <v>447</v>
      </c>
      <c r="B395" t="s">
        <v>33</v>
      </c>
      <c r="C395" s="2">
        <v>46054.9375</v>
      </c>
      <c r="D395" s="2">
        <v>46054.96875</v>
      </c>
      <c r="E395">
        <v>0.75</v>
      </c>
      <c r="F395">
        <v>10</v>
      </c>
      <c r="G395" t="b">
        <v>0</v>
      </c>
      <c r="H395" s="2">
        <v>46054</v>
      </c>
      <c r="I395">
        <v>22</v>
      </c>
      <c r="J395" t="s">
        <v>52</v>
      </c>
      <c r="K395">
        <v>1</v>
      </c>
      <c r="L395" t="s">
        <v>66</v>
      </c>
      <c r="M395">
        <v>0.75</v>
      </c>
      <c r="N395" t="s">
        <v>36</v>
      </c>
      <c r="O395">
        <v>60</v>
      </c>
      <c r="P395" t="s">
        <v>37</v>
      </c>
      <c r="Q395">
        <v>1</v>
      </c>
      <c r="R395">
        <v>0</v>
      </c>
      <c r="S395">
        <v>0</v>
      </c>
      <c r="T395">
        <v>30.8</v>
      </c>
      <c r="U395">
        <v>10</v>
      </c>
      <c r="V395" t="s">
        <v>38</v>
      </c>
      <c r="W395">
        <v>0</v>
      </c>
      <c r="X395" t="s">
        <v>31</v>
      </c>
    </row>
    <row r="396" spans="1:24" x14ac:dyDescent="0.3">
      <c r="A396" t="s">
        <v>448</v>
      </c>
      <c r="B396" t="s">
        <v>47</v>
      </c>
      <c r="C396" s="2">
        <v>46055.402083333327</v>
      </c>
      <c r="D396" s="2">
        <v>46055.431250000001</v>
      </c>
      <c r="E396">
        <v>0.7</v>
      </c>
      <c r="F396">
        <v>10</v>
      </c>
      <c r="G396" t="b">
        <v>0</v>
      </c>
      <c r="H396" s="2">
        <v>46055</v>
      </c>
      <c r="I396">
        <v>9</v>
      </c>
      <c r="J396" t="s">
        <v>54</v>
      </c>
      <c r="K396">
        <v>0</v>
      </c>
      <c r="L396" t="s">
        <v>35</v>
      </c>
      <c r="M396">
        <v>0.7</v>
      </c>
      <c r="N396" t="s">
        <v>49</v>
      </c>
      <c r="O396">
        <v>50</v>
      </c>
      <c r="P396" t="s">
        <v>50</v>
      </c>
      <c r="Q396">
        <v>0</v>
      </c>
      <c r="R396">
        <v>0</v>
      </c>
      <c r="S396">
        <v>1</v>
      </c>
      <c r="T396">
        <v>30.8</v>
      </c>
      <c r="U396">
        <v>10</v>
      </c>
      <c r="V396" t="s">
        <v>38</v>
      </c>
      <c r="W396">
        <v>0</v>
      </c>
      <c r="X396" t="s">
        <v>59</v>
      </c>
    </row>
    <row r="397" spans="1:24" x14ac:dyDescent="0.3">
      <c r="A397" t="s">
        <v>449</v>
      </c>
      <c r="B397" t="s">
        <v>40</v>
      </c>
      <c r="C397" s="2">
        <v>46056.579861111109</v>
      </c>
      <c r="D397" s="2">
        <v>46056.913194444453</v>
      </c>
      <c r="E397">
        <v>8</v>
      </c>
      <c r="F397">
        <v>125.07</v>
      </c>
      <c r="G397" t="b">
        <v>0</v>
      </c>
      <c r="H397" s="2">
        <v>46056</v>
      </c>
      <c r="I397">
        <v>13</v>
      </c>
      <c r="J397" t="s">
        <v>56</v>
      </c>
      <c r="K397">
        <v>0</v>
      </c>
      <c r="L397" t="s">
        <v>27</v>
      </c>
      <c r="M397">
        <v>8</v>
      </c>
      <c r="N397" t="s">
        <v>43</v>
      </c>
      <c r="O397">
        <v>100</v>
      </c>
      <c r="P397" t="s">
        <v>44</v>
      </c>
      <c r="Q397">
        <v>0</v>
      </c>
      <c r="R397">
        <v>0</v>
      </c>
      <c r="S397">
        <v>0</v>
      </c>
      <c r="T397">
        <v>28.1</v>
      </c>
      <c r="U397">
        <v>125.07</v>
      </c>
      <c r="V397" t="s">
        <v>45</v>
      </c>
      <c r="W397">
        <v>0</v>
      </c>
      <c r="X397" t="s">
        <v>31</v>
      </c>
    </row>
    <row r="398" spans="1:24" x14ac:dyDescent="0.3">
      <c r="A398" t="s">
        <v>450</v>
      </c>
      <c r="B398" t="s">
        <v>40</v>
      </c>
      <c r="C398" s="2">
        <v>46057.470138888893</v>
      </c>
      <c r="D398" s="2">
        <v>46057.549305555563</v>
      </c>
      <c r="E398">
        <v>1.9</v>
      </c>
      <c r="F398">
        <v>30.37</v>
      </c>
      <c r="G398" t="b">
        <v>0</v>
      </c>
      <c r="H398" s="2">
        <v>46057</v>
      </c>
      <c r="I398">
        <v>11</v>
      </c>
      <c r="J398" t="s">
        <v>26</v>
      </c>
      <c r="K398">
        <v>0</v>
      </c>
      <c r="L398" t="s">
        <v>35</v>
      </c>
      <c r="M398">
        <v>1.9</v>
      </c>
      <c r="N398" t="s">
        <v>43</v>
      </c>
      <c r="O398">
        <v>100</v>
      </c>
      <c r="P398" t="s">
        <v>44</v>
      </c>
      <c r="Q398">
        <v>0</v>
      </c>
      <c r="R398">
        <v>0</v>
      </c>
      <c r="S398">
        <v>1</v>
      </c>
      <c r="T398">
        <v>26.6</v>
      </c>
      <c r="U398">
        <v>30.37</v>
      </c>
      <c r="V398" t="s">
        <v>38</v>
      </c>
      <c r="W398">
        <v>0</v>
      </c>
      <c r="X398" t="s">
        <v>59</v>
      </c>
    </row>
    <row r="399" spans="1:24" x14ac:dyDescent="0.3">
      <c r="A399" t="s">
        <v>451</v>
      </c>
      <c r="B399" t="s">
        <v>25</v>
      </c>
      <c r="C399" s="2">
        <v>46058.745833333327</v>
      </c>
      <c r="D399" s="2">
        <v>46058.79583333333</v>
      </c>
      <c r="E399">
        <v>1.2</v>
      </c>
      <c r="F399">
        <v>21.73</v>
      </c>
      <c r="G399" t="b">
        <v>0</v>
      </c>
      <c r="H399" s="2">
        <v>46058</v>
      </c>
      <c r="I399">
        <v>17</v>
      </c>
      <c r="J399" t="s">
        <v>34</v>
      </c>
      <c r="K399">
        <v>0</v>
      </c>
      <c r="L399" t="s">
        <v>42</v>
      </c>
      <c r="M399">
        <v>1.2</v>
      </c>
      <c r="N399" t="s">
        <v>28</v>
      </c>
      <c r="O399">
        <v>70</v>
      </c>
      <c r="P399" t="s">
        <v>29</v>
      </c>
      <c r="Q399">
        <v>0</v>
      </c>
      <c r="R399">
        <v>0</v>
      </c>
      <c r="S399">
        <v>0</v>
      </c>
      <c r="T399">
        <v>30.3</v>
      </c>
      <c r="U399">
        <v>21.73</v>
      </c>
      <c r="V399" t="s">
        <v>38</v>
      </c>
      <c r="W399">
        <v>0</v>
      </c>
      <c r="X399" t="s">
        <v>31</v>
      </c>
    </row>
    <row r="400" spans="1:24" x14ac:dyDescent="0.3">
      <c r="A400" t="s">
        <v>452</v>
      </c>
      <c r="B400" t="s">
        <v>47</v>
      </c>
      <c r="C400" s="2">
        <v>46059.87777777778</v>
      </c>
      <c r="D400" s="2">
        <v>46060.047222222223</v>
      </c>
      <c r="E400">
        <v>4.0666666666666664</v>
      </c>
      <c r="F400">
        <v>65.03</v>
      </c>
      <c r="G400" t="b">
        <v>0</v>
      </c>
      <c r="H400" s="2">
        <v>46059</v>
      </c>
      <c r="I400">
        <v>21</v>
      </c>
      <c r="J400" t="s">
        <v>41</v>
      </c>
      <c r="K400">
        <v>0</v>
      </c>
      <c r="L400" t="s">
        <v>66</v>
      </c>
      <c r="M400">
        <v>4.0666666666666664</v>
      </c>
      <c r="N400" t="s">
        <v>49</v>
      </c>
      <c r="O400">
        <v>50</v>
      </c>
      <c r="P400" t="s">
        <v>50</v>
      </c>
      <c r="Q400">
        <v>0</v>
      </c>
      <c r="R400">
        <v>0</v>
      </c>
      <c r="S400">
        <v>0</v>
      </c>
      <c r="T400">
        <v>25.6</v>
      </c>
      <c r="U400">
        <v>65.03</v>
      </c>
      <c r="V400" t="s">
        <v>38</v>
      </c>
      <c r="W400">
        <v>0</v>
      </c>
      <c r="X400" t="s">
        <v>31</v>
      </c>
    </row>
    <row r="401" spans="1:24" x14ac:dyDescent="0.3">
      <c r="A401" t="s">
        <v>453</v>
      </c>
      <c r="B401" t="s">
        <v>25</v>
      </c>
      <c r="C401" s="2">
        <v>46060.710416666669</v>
      </c>
      <c r="D401" s="2">
        <v>46060.837500000001</v>
      </c>
      <c r="E401">
        <v>3.05</v>
      </c>
      <c r="F401">
        <v>61.88</v>
      </c>
      <c r="G401" t="b">
        <v>0</v>
      </c>
      <c r="H401" s="2">
        <v>46060</v>
      </c>
      <c r="I401">
        <v>17</v>
      </c>
      <c r="J401" t="s">
        <v>48</v>
      </c>
      <c r="K401">
        <v>1</v>
      </c>
      <c r="L401" t="s">
        <v>42</v>
      </c>
      <c r="M401">
        <v>3.05</v>
      </c>
      <c r="N401" t="s">
        <v>28</v>
      </c>
      <c r="O401">
        <v>70</v>
      </c>
      <c r="P401" t="s">
        <v>29</v>
      </c>
      <c r="Q401">
        <v>1</v>
      </c>
      <c r="R401">
        <v>0</v>
      </c>
      <c r="S401">
        <v>0</v>
      </c>
      <c r="T401">
        <v>29.8</v>
      </c>
      <c r="U401">
        <v>61.88</v>
      </c>
      <c r="V401" t="s">
        <v>38</v>
      </c>
      <c r="W401">
        <v>0</v>
      </c>
      <c r="X401" t="s">
        <v>31</v>
      </c>
    </row>
    <row r="402" spans="1:24" x14ac:dyDescent="0.3">
      <c r="A402" t="s">
        <v>454</v>
      </c>
      <c r="B402" t="s">
        <v>25</v>
      </c>
      <c r="C402" s="2">
        <v>46061.927777777782</v>
      </c>
      <c r="D402" s="2">
        <v>46062.061111111107</v>
      </c>
      <c r="E402">
        <v>3.2</v>
      </c>
      <c r="F402">
        <v>51.2</v>
      </c>
      <c r="G402" t="b">
        <v>0</v>
      </c>
      <c r="H402" s="2">
        <v>46061</v>
      </c>
      <c r="I402">
        <v>22</v>
      </c>
      <c r="J402" t="s">
        <v>52</v>
      </c>
      <c r="K402">
        <v>1</v>
      </c>
      <c r="L402" t="s">
        <v>66</v>
      </c>
      <c r="M402">
        <v>3.2</v>
      </c>
      <c r="N402" t="s">
        <v>28</v>
      </c>
      <c r="O402">
        <v>70</v>
      </c>
      <c r="P402" t="s">
        <v>29</v>
      </c>
      <c r="Q402">
        <v>1</v>
      </c>
      <c r="R402">
        <v>0</v>
      </c>
      <c r="S402">
        <v>1</v>
      </c>
      <c r="T402">
        <v>27</v>
      </c>
      <c r="U402">
        <v>51.2</v>
      </c>
      <c r="V402" t="s">
        <v>45</v>
      </c>
      <c r="W402">
        <v>0</v>
      </c>
      <c r="X402" t="s">
        <v>59</v>
      </c>
    </row>
    <row r="403" spans="1:24" x14ac:dyDescent="0.3">
      <c r="A403" t="s">
        <v>455</v>
      </c>
      <c r="B403" t="s">
        <v>25</v>
      </c>
      <c r="C403" s="2">
        <v>46062.518750000003</v>
      </c>
      <c r="D403" s="2">
        <v>46062.668749999997</v>
      </c>
      <c r="E403">
        <v>3.6</v>
      </c>
      <c r="F403">
        <v>63.08</v>
      </c>
      <c r="G403" t="b">
        <v>0</v>
      </c>
      <c r="H403" s="2">
        <v>46062</v>
      </c>
      <c r="I403">
        <v>12</v>
      </c>
      <c r="J403" t="s">
        <v>54</v>
      </c>
      <c r="K403">
        <v>0</v>
      </c>
      <c r="L403" t="s">
        <v>27</v>
      </c>
      <c r="M403">
        <v>3.6</v>
      </c>
      <c r="N403" t="s">
        <v>28</v>
      </c>
      <c r="O403">
        <v>70</v>
      </c>
      <c r="P403" t="s">
        <v>29</v>
      </c>
      <c r="Q403">
        <v>0</v>
      </c>
      <c r="R403">
        <v>0</v>
      </c>
      <c r="S403">
        <v>1</v>
      </c>
      <c r="T403">
        <v>34.200000000000003</v>
      </c>
      <c r="U403">
        <v>63.08</v>
      </c>
      <c r="V403" t="s">
        <v>45</v>
      </c>
      <c r="W403">
        <v>0</v>
      </c>
      <c r="X403" t="s">
        <v>59</v>
      </c>
    </row>
    <row r="404" spans="1:24" x14ac:dyDescent="0.3">
      <c r="A404" t="s">
        <v>456</v>
      </c>
      <c r="B404" t="s">
        <v>33</v>
      </c>
      <c r="C404" s="2">
        <v>46063.588888888888</v>
      </c>
      <c r="D404" s="2">
        <v>46063.65</v>
      </c>
      <c r="E404">
        <v>1.466666666666667</v>
      </c>
      <c r="F404">
        <v>25.54</v>
      </c>
      <c r="G404" t="b">
        <v>0</v>
      </c>
      <c r="H404" s="2">
        <v>46063</v>
      </c>
      <c r="I404">
        <v>14</v>
      </c>
      <c r="J404" t="s">
        <v>56</v>
      </c>
      <c r="K404">
        <v>0</v>
      </c>
      <c r="L404" t="s">
        <v>27</v>
      </c>
      <c r="M404">
        <v>1.466666666666667</v>
      </c>
      <c r="N404" t="s">
        <v>36</v>
      </c>
      <c r="O404">
        <v>60</v>
      </c>
      <c r="P404" t="s">
        <v>37</v>
      </c>
      <c r="Q404">
        <v>0</v>
      </c>
      <c r="R404">
        <v>0</v>
      </c>
      <c r="S404">
        <v>0</v>
      </c>
      <c r="T404">
        <v>27.2</v>
      </c>
      <c r="U404">
        <v>25.54</v>
      </c>
      <c r="V404" t="s">
        <v>30</v>
      </c>
      <c r="W404">
        <v>0</v>
      </c>
      <c r="X404" t="s">
        <v>31</v>
      </c>
    </row>
    <row r="405" spans="1:24" x14ac:dyDescent="0.3">
      <c r="A405" t="s">
        <v>457</v>
      </c>
      <c r="B405" t="s">
        <v>25</v>
      </c>
      <c r="C405" s="2">
        <v>46064.495138888888</v>
      </c>
      <c r="D405" s="2">
        <v>46064.519444444442</v>
      </c>
      <c r="E405">
        <v>0.58333333333333337</v>
      </c>
      <c r="F405">
        <v>11.54</v>
      </c>
      <c r="G405" t="b">
        <v>0</v>
      </c>
      <c r="H405" s="2">
        <v>46064</v>
      </c>
      <c r="I405">
        <v>11</v>
      </c>
      <c r="J405" t="s">
        <v>26</v>
      </c>
      <c r="K405">
        <v>0</v>
      </c>
      <c r="L405" t="s">
        <v>35</v>
      </c>
      <c r="M405">
        <v>0.58333333333333337</v>
      </c>
      <c r="N405" t="s">
        <v>28</v>
      </c>
      <c r="O405">
        <v>70</v>
      </c>
      <c r="P405" t="s">
        <v>29</v>
      </c>
      <c r="Q405">
        <v>0</v>
      </c>
      <c r="R405">
        <v>0</v>
      </c>
      <c r="S405">
        <v>0</v>
      </c>
      <c r="T405">
        <v>33.799999999999997</v>
      </c>
      <c r="U405">
        <v>11.54</v>
      </c>
      <c r="V405" t="s">
        <v>45</v>
      </c>
      <c r="W405">
        <v>0</v>
      </c>
      <c r="X405" t="s">
        <v>31</v>
      </c>
    </row>
    <row r="406" spans="1:24" x14ac:dyDescent="0.3">
      <c r="A406" t="s">
        <v>458</v>
      </c>
      <c r="B406" t="s">
        <v>40</v>
      </c>
      <c r="C406" s="2">
        <v>46065.399305555547</v>
      </c>
      <c r="D406" s="2">
        <v>46065.463194444441</v>
      </c>
      <c r="E406">
        <v>1.533333333333333</v>
      </c>
      <c r="F406">
        <v>18.239999999999998</v>
      </c>
      <c r="G406" t="b">
        <v>0</v>
      </c>
      <c r="H406" s="2">
        <v>46065</v>
      </c>
      <c r="I406">
        <v>9</v>
      </c>
      <c r="J406" t="s">
        <v>34</v>
      </c>
      <c r="K406">
        <v>0</v>
      </c>
      <c r="L406" t="s">
        <v>35</v>
      </c>
      <c r="M406">
        <v>1.533333333333333</v>
      </c>
      <c r="N406" t="s">
        <v>43</v>
      </c>
      <c r="O406">
        <v>100</v>
      </c>
      <c r="P406" t="s">
        <v>44</v>
      </c>
      <c r="Q406">
        <v>0</v>
      </c>
      <c r="R406">
        <v>0</v>
      </c>
      <c r="S406">
        <v>0</v>
      </c>
      <c r="T406">
        <v>32.5</v>
      </c>
      <c r="U406">
        <v>18.239999999999998</v>
      </c>
      <c r="V406" t="s">
        <v>38</v>
      </c>
      <c r="W406">
        <v>0</v>
      </c>
      <c r="X406" t="s">
        <v>31</v>
      </c>
    </row>
    <row r="407" spans="1:24" x14ac:dyDescent="0.3">
      <c r="A407" t="s">
        <v>459</v>
      </c>
      <c r="B407" t="s">
        <v>25</v>
      </c>
      <c r="C407" s="2">
        <v>46066.42083333333</v>
      </c>
      <c r="D407" s="2">
        <v>46066.446527777778</v>
      </c>
      <c r="E407">
        <v>0.6166666666666667</v>
      </c>
      <c r="F407">
        <v>10</v>
      </c>
      <c r="G407" t="b">
        <v>0</v>
      </c>
      <c r="H407" s="2">
        <v>46066</v>
      </c>
      <c r="I407">
        <v>10</v>
      </c>
      <c r="J407" t="s">
        <v>41</v>
      </c>
      <c r="K407">
        <v>0</v>
      </c>
      <c r="L407" t="s">
        <v>35</v>
      </c>
      <c r="M407">
        <v>0.6166666666666667</v>
      </c>
      <c r="N407" t="s">
        <v>28</v>
      </c>
      <c r="O407">
        <v>70</v>
      </c>
      <c r="P407" t="s">
        <v>29</v>
      </c>
      <c r="Q407">
        <v>0</v>
      </c>
      <c r="R407">
        <v>0</v>
      </c>
      <c r="S407">
        <v>0</v>
      </c>
      <c r="T407">
        <v>29.5</v>
      </c>
      <c r="U407">
        <v>10</v>
      </c>
      <c r="V407" t="s">
        <v>38</v>
      </c>
      <c r="W407">
        <v>0</v>
      </c>
      <c r="X407" t="s">
        <v>31</v>
      </c>
    </row>
    <row r="408" spans="1:24" x14ac:dyDescent="0.3">
      <c r="A408" t="s">
        <v>460</v>
      </c>
      <c r="B408" t="s">
        <v>25</v>
      </c>
      <c r="C408" s="2">
        <v>46067.777777777781</v>
      </c>
      <c r="D408" s="2">
        <v>46067.890972222223</v>
      </c>
      <c r="E408">
        <v>2.7166666666666668</v>
      </c>
      <c r="F408">
        <v>33.520000000000003</v>
      </c>
      <c r="G408" t="b">
        <v>0</v>
      </c>
      <c r="H408" s="2">
        <v>46067</v>
      </c>
      <c r="I408">
        <v>18</v>
      </c>
      <c r="J408" t="s">
        <v>48</v>
      </c>
      <c r="K408">
        <v>1</v>
      </c>
      <c r="L408" t="s">
        <v>42</v>
      </c>
      <c r="M408">
        <v>2.7166666666666668</v>
      </c>
      <c r="N408" t="s">
        <v>28</v>
      </c>
      <c r="O408">
        <v>70</v>
      </c>
      <c r="P408" t="s">
        <v>29</v>
      </c>
      <c r="Q408">
        <v>1</v>
      </c>
      <c r="R408">
        <v>0</v>
      </c>
      <c r="S408">
        <v>1</v>
      </c>
      <c r="T408">
        <v>33.200000000000003</v>
      </c>
      <c r="U408">
        <v>33.520000000000003</v>
      </c>
      <c r="V408" t="s">
        <v>45</v>
      </c>
      <c r="W408">
        <v>0</v>
      </c>
      <c r="X408" t="s">
        <v>59</v>
      </c>
    </row>
    <row r="409" spans="1:24" x14ac:dyDescent="0.3">
      <c r="A409" t="s">
        <v>461</v>
      </c>
      <c r="B409" t="s">
        <v>25</v>
      </c>
      <c r="C409" s="2">
        <v>46068.886111111111</v>
      </c>
      <c r="D409" s="2">
        <v>46068.925694444442</v>
      </c>
      <c r="E409">
        <v>0.95</v>
      </c>
      <c r="F409">
        <v>12.87</v>
      </c>
      <c r="G409" t="b">
        <v>0</v>
      </c>
      <c r="H409" s="2">
        <v>46068</v>
      </c>
      <c r="I409">
        <v>21</v>
      </c>
      <c r="J409" t="s">
        <v>52</v>
      </c>
      <c r="K409">
        <v>1</v>
      </c>
      <c r="L409" t="s">
        <v>66</v>
      </c>
      <c r="M409">
        <v>0.95</v>
      </c>
      <c r="N409" t="s">
        <v>28</v>
      </c>
      <c r="O409">
        <v>70</v>
      </c>
      <c r="P409" t="s">
        <v>29</v>
      </c>
      <c r="Q409">
        <v>1</v>
      </c>
      <c r="R409">
        <v>0</v>
      </c>
      <c r="S409">
        <v>0</v>
      </c>
      <c r="T409">
        <v>29</v>
      </c>
      <c r="U409">
        <v>12.87</v>
      </c>
      <c r="V409" t="s">
        <v>30</v>
      </c>
      <c r="W409">
        <v>0</v>
      </c>
      <c r="X409" t="s">
        <v>31</v>
      </c>
    </row>
    <row r="410" spans="1:24" x14ac:dyDescent="0.3">
      <c r="A410" t="s">
        <v>462</v>
      </c>
      <c r="B410" t="s">
        <v>25</v>
      </c>
      <c r="C410" s="2">
        <v>46069.674305555563</v>
      </c>
      <c r="D410" s="2">
        <v>46069.706250000003</v>
      </c>
      <c r="E410">
        <v>0.76666666666666672</v>
      </c>
      <c r="F410">
        <v>10</v>
      </c>
      <c r="G410" t="b">
        <v>0</v>
      </c>
      <c r="H410" s="2">
        <v>46069</v>
      </c>
      <c r="I410">
        <v>16</v>
      </c>
      <c r="J410" t="s">
        <v>54</v>
      </c>
      <c r="K410">
        <v>0</v>
      </c>
      <c r="L410" t="s">
        <v>27</v>
      </c>
      <c r="M410">
        <v>0.76666666666666672</v>
      </c>
      <c r="N410" t="s">
        <v>28</v>
      </c>
      <c r="O410">
        <v>70</v>
      </c>
      <c r="P410" t="s">
        <v>29</v>
      </c>
      <c r="Q410">
        <v>0</v>
      </c>
      <c r="R410">
        <v>0</v>
      </c>
      <c r="S410">
        <v>0</v>
      </c>
      <c r="T410">
        <v>29.4</v>
      </c>
      <c r="U410">
        <v>10</v>
      </c>
      <c r="V410" t="s">
        <v>38</v>
      </c>
      <c r="W410">
        <v>0</v>
      </c>
      <c r="X410" t="s">
        <v>31</v>
      </c>
    </row>
    <row r="411" spans="1:24" x14ac:dyDescent="0.3">
      <c r="A411" t="s">
        <v>463</v>
      </c>
      <c r="B411" t="s">
        <v>47</v>
      </c>
      <c r="C411" s="2">
        <v>46070.370833333327</v>
      </c>
      <c r="D411" s="2">
        <v>46070.500694444447</v>
      </c>
      <c r="E411">
        <v>3.1166666666666671</v>
      </c>
      <c r="F411">
        <v>55.67</v>
      </c>
      <c r="G411" t="b">
        <v>0</v>
      </c>
      <c r="H411" s="2">
        <v>46070</v>
      </c>
      <c r="I411">
        <v>8</v>
      </c>
      <c r="J411" t="s">
        <v>56</v>
      </c>
      <c r="K411">
        <v>0</v>
      </c>
      <c r="L411" t="s">
        <v>35</v>
      </c>
      <c r="M411">
        <v>3.1166666666666671</v>
      </c>
      <c r="N411" t="s">
        <v>49</v>
      </c>
      <c r="O411">
        <v>50</v>
      </c>
      <c r="P411" t="s">
        <v>50</v>
      </c>
      <c r="Q411">
        <v>0</v>
      </c>
      <c r="R411">
        <v>0</v>
      </c>
      <c r="S411">
        <v>0</v>
      </c>
      <c r="T411">
        <v>28.2</v>
      </c>
      <c r="U411">
        <v>55.67</v>
      </c>
      <c r="V411" t="s">
        <v>45</v>
      </c>
      <c r="W411">
        <v>0</v>
      </c>
      <c r="X411" t="s">
        <v>31</v>
      </c>
    </row>
    <row r="412" spans="1:24" x14ac:dyDescent="0.3">
      <c r="A412" t="s">
        <v>464</v>
      </c>
      <c r="B412" t="s">
        <v>25</v>
      </c>
      <c r="C412" s="2">
        <v>46071.831250000003</v>
      </c>
      <c r="D412" s="2">
        <v>46071.958333333343</v>
      </c>
      <c r="E412">
        <v>3.05</v>
      </c>
      <c r="F412">
        <v>51.14</v>
      </c>
      <c r="G412" t="b">
        <v>0</v>
      </c>
      <c r="H412" s="2">
        <v>46071</v>
      </c>
      <c r="I412">
        <v>19</v>
      </c>
      <c r="J412" t="s">
        <v>26</v>
      </c>
      <c r="K412">
        <v>0</v>
      </c>
      <c r="L412" t="s">
        <v>42</v>
      </c>
      <c r="M412">
        <v>3.05</v>
      </c>
      <c r="N412" t="s">
        <v>28</v>
      </c>
      <c r="O412">
        <v>70</v>
      </c>
      <c r="P412" t="s">
        <v>29</v>
      </c>
      <c r="Q412">
        <v>0</v>
      </c>
      <c r="R412">
        <v>0</v>
      </c>
      <c r="S412">
        <v>0</v>
      </c>
      <c r="T412">
        <v>30.3</v>
      </c>
      <c r="U412">
        <v>51.14</v>
      </c>
      <c r="V412" t="s">
        <v>30</v>
      </c>
      <c r="W412">
        <v>0</v>
      </c>
      <c r="X412" t="s">
        <v>31</v>
      </c>
    </row>
    <row r="413" spans="1:24" x14ac:dyDescent="0.3">
      <c r="A413" t="s">
        <v>465</v>
      </c>
      <c r="B413" t="s">
        <v>25</v>
      </c>
      <c r="C413" s="2">
        <v>46073.509722222218</v>
      </c>
      <c r="D413" s="2">
        <v>46073.611111111109</v>
      </c>
      <c r="E413">
        <v>2.4333333333333331</v>
      </c>
      <c r="F413">
        <v>47.12</v>
      </c>
      <c r="G413" t="b">
        <v>0</v>
      </c>
      <c r="H413" s="2">
        <v>46073</v>
      </c>
      <c r="I413">
        <v>12</v>
      </c>
      <c r="J413" t="s">
        <v>41</v>
      </c>
      <c r="K413">
        <v>0</v>
      </c>
      <c r="L413" t="s">
        <v>27</v>
      </c>
      <c r="M413">
        <v>2.4333333333333331</v>
      </c>
      <c r="N413" t="s">
        <v>28</v>
      </c>
      <c r="O413">
        <v>70</v>
      </c>
      <c r="P413" t="s">
        <v>29</v>
      </c>
      <c r="Q413">
        <v>0</v>
      </c>
      <c r="R413">
        <v>0</v>
      </c>
      <c r="S413">
        <v>1</v>
      </c>
      <c r="T413">
        <v>27.6</v>
      </c>
      <c r="U413">
        <v>47.12</v>
      </c>
      <c r="V413" t="s">
        <v>38</v>
      </c>
      <c r="W413">
        <v>0</v>
      </c>
      <c r="X413" t="s">
        <v>59</v>
      </c>
    </row>
    <row r="414" spans="1:24" x14ac:dyDescent="0.3">
      <c r="A414" t="s">
        <v>466</v>
      </c>
      <c r="B414" t="s">
        <v>40</v>
      </c>
      <c r="C414" s="2">
        <v>46074.902083333327</v>
      </c>
      <c r="D414" s="2">
        <v>46075.046527777777</v>
      </c>
      <c r="E414">
        <v>3.4666666666666668</v>
      </c>
      <c r="F414">
        <v>56.43</v>
      </c>
      <c r="G414" t="b">
        <v>0</v>
      </c>
      <c r="H414" s="2">
        <v>46074</v>
      </c>
      <c r="I414">
        <v>21</v>
      </c>
      <c r="J414" t="s">
        <v>48</v>
      </c>
      <c r="K414">
        <v>1</v>
      </c>
      <c r="L414" t="s">
        <v>66</v>
      </c>
      <c r="M414">
        <v>3.4666666666666668</v>
      </c>
      <c r="N414" t="s">
        <v>43</v>
      </c>
      <c r="O414">
        <v>100</v>
      </c>
      <c r="P414" t="s">
        <v>44</v>
      </c>
      <c r="Q414">
        <v>1</v>
      </c>
      <c r="R414">
        <v>0</v>
      </c>
      <c r="S414">
        <v>0</v>
      </c>
      <c r="T414">
        <v>33.4</v>
      </c>
      <c r="U414">
        <v>56.43</v>
      </c>
      <c r="V414" t="s">
        <v>30</v>
      </c>
      <c r="W414">
        <v>0</v>
      </c>
      <c r="X414" t="s">
        <v>31</v>
      </c>
    </row>
    <row r="415" spans="1:24" x14ac:dyDescent="0.3">
      <c r="A415" t="s">
        <v>467</v>
      </c>
      <c r="B415" t="s">
        <v>61</v>
      </c>
      <c r="C415" s="2">
        <v>46075.876388888893</v>
      </c>
      <c r="D415" s="2">
        <v>46075.959027777782</v>
      </c>
      <c r="E415">
        <v>1.9833333333333329</v>
      </c>
      <c r="F415">
        <v>25.66</v>
      </c>
      <c r="G415" t="b">
        <v>0</v>
      </c>
      <c r="H415" s="2">
        <v>46075</v>
      </c>
      <c r="I415">
        <v>21</v>
      </c>
      <c r="J415" t="s">
        <v>52</v>
      </c>
      <c r="K415">
        <v>1</v>
      </c>
      <c r="L415" t="s">
        <v>66</v>
      </c>
      <c r="M415">
        <v>1.9833333333333329</v>
      </c>
      <c r="N415" t="s">
        <v>62</v>
      </c>
      <c r="O415">
        <v>80</v>
      </c>
      <c r="P415" t="s">
        <v>37</v>
      </c>
      <c r="Q415">
        <v>1</v>
      </c>
      <c r="R415">
        <v>0</v>
      </c>
      <c r="S415">
        <v>0</v>
      </c>
      <c r="T415">
        <v>31.7</v>
      </c>
      <c r="U415">
        <v>25.66</v>
      </c>
      <c r="V415" t="s">
        <v>38</v>
      </c>
      <c r="W415">
        <v>0</v>
      </c>
      <c r="X415" t="s">
        <v>31</v>
      </c>
    </row>
    <row r="416" spans="1:24" x14ac:dyDescent="0.3">
      <c r="A416" t="s">
        <v>468</v>
      </c>
      <c r="B416" t="s">
        <v>61</v>
      </c>
      <c r="C416" s="2">
        <v>46076.479861111111</v>
      </c>
      <c r="D416" s="2">
        <v>46076.640972222223</v>
      </c>
      <c r="E416">
        <v>3.8666666666666671</v>
      </c>
      <c r="F416">
        <v>50.92</v>
      </c>
      <c r="G416" t="b">
        <v>0</v>
      </c>
      <c r="H416" s="2">
        <v>46076</v>
      </c>
      <c r="I416">
        <v>11</v>
      </c>
      <c r="J416" t="s">
        <v>54</v>
      </c>
      <c r="K416">
        <v>0</v>
      </c>
      <c r="L416" t="s">
        <v>35</v>
      </c>
      <c r="M416">
        <v>3.8666666666666671</v>
      </c>
      <c r="N416" t="s">
        <v>62</v>
      </c>
      <c r="O416">
        <v>80</v>
      </c>
      <c r="P416" t="s">
        <v>37</v>
      </c>
      <c r="Q416">
        <v>0</v>
      </c>
      <c r="R416">
        <v>0</v>
      </c>
      <c r="S416">
        <v>0</v>
      </c>
      <c r="T416">
        <v>31</v>
      </c>
      <c r="U416">
        <v>50.92</v>
      </c>
      <c r="V416" t="s">
        <v>45</v>
      </c>
      <c r="W416">
        <v>0</v>
      </c>
      <c r="X416" t="s">
        <v>31</v>
      </c>
    </row>
    <row r="417" spans="1:24" x14ac:dyDescent="0.3">
      <c r="A417" t="s">
        <v>469</v>
      </c>
      <c r="B417" t="s">
        <v>61</v>
      </c>
      <c r="C417" s="2">
        <v>46077.529861111107</v>
      </c>
      <c r="D417" s="2">
        <v>46077.597222222219</v>
      </c>
      <c r="E417">
        <v>1.6166666666666669</v>
      </c>
      <c r="F417">
        <v>27.09</v>
      </c>
      <c r="G417" t="b">
        <v>0</v>
      </c>
      <c r="H417" s="2">
        <v>46077</v>
      </c>
      <c r="I417">
        <v>12</v>
      </c>
      <c r="J417" t="s">
        <v>56</v>
      </c>
      <c r="K417">
        <v>0</v>
      </c>
      <c r="L417" t="s">
        <v>27</v>
      </c>
      <c r="M417">
        <v>1.6166666666666669</v>
      </c>
      <c r="N417" t="s">
        <v>62</v>
      </c>
      <c r="O417">
        <v>80</v>
      </c>
      <c r="P417" t="s">
        <v>37</v>
      </c>
      <c r="Q417">
        <v>0</v>
      </c>
      <c r="R417">
        <v>0</v>
      </c>
      <c r="S417">
        <v>0</v>
      </c>
      <c r="T417">
        <v>31.6</v>
      </c>
      <c r="U417">
        <v>27.09</v>
      </c>
      <c r="V417" t="s">
        <v>30</v>
      </c>
      <c r="W417">
        <v>0</v>
      </c>
      <c r="X417" t="s">
        <v>31</v>
      </c>
    </row>
    <row r="418" spans="1:24" x14ac:dyDescent="0.3">
      <c r="A418" t="s">
        <v>470</v>
      </c>
      <c r="B418" t="s">
        <v>61</v>
      </c>
      <c r="C418" s="2">
        <v>46078.657638888893</v>
      </c>
      <c r="D418" s="2">
        <v>46078.686111111107</v>
      </c>
      <c r="E418">
        <v>0.68333333333333335</v>
      </c>
      <c r="F418">
        <v>15.39</v>
      </c>
      <c r="G418" t="b">
        <v>0</v>
      </c>
      <c r="H418" s="2">
        <v>46078</v>
      </c>
      <c r="I418">
        <v>15</v>
      </c>
      <c r="J418" t="s">
        <v>26</v>
      </c>
      <c r="K418">
        <v>0</v>
      </c>
      <c r="L418" t="s">
        <v>27</v>
      </c>
      <c r="M418">
        <v>0.68333333333333335</v>
      </c>
      <c r="N418" t="s">
        <v>62</v>
      </c>
      <c r="O418">
        <v>80</v>
      </c>
      <c r="P418" t="s">
        <v>37</v>
      </c>
      <c r="Q418">
        <v>0</v>
      </c>
      <c r="R418">
        <v>0</v>
      </c>
      <c r="S418">
        <v>0</v>
      </c>
      <c r="T418">
        <v>33.700000000000003</v>
      </c>
      <c r="U418">
        <v>15.39</v>
      </c>
      <c r="V418" t="s">
        <v>45</v>
      </c>
      <c r="W418">
        <v>0</v>
      </c>
      <c r="X418" t="s">
        <v>31</v>
      </c>
    </row>
    <row r="419" spans="1:24" x14ac:dyDescent="0.3">
      <c r="A419" t="s">
        <v>471</v>
      </c>
      <c r="B419" t="s">
        <v>25</v>
      </c>
      <c r="C419" s="2">
        <v>46079.393750000003</v>
      </c>
      <c r="D419" s="2">
        <v>46079.456250000003</v>
      </c>
      <c r="E419">
        <v>1.5</v>
      </c>
      <c r="F419">
        <v>27.76</v>
      </c>
      <c r="G419" t="b">
        <v>0</v>
      </c>
      <c r="H419" s="2">
        <v>46079</v>
      </c>
      <c r="I419">
        <v>9</v>
      </c>
      <c r="J419" t="s">
        <v>34</v>
      </c>
      <c r="K419">
        <v>0</v>
      </c>
      <c r="L419" t="s">
        <v>35</v>
      </c>
      <c r="M419">
        <v>1.5</v>
      </c>
      <c r="N419" t="s">
        <v>28</v>
      </c>
      <c r="O419">
        <v>70</v>
      </c>
      <c r="P419" t="s">
        <v>29</v>
      </c>
      <c r="Q419">
        <v>0</v>
      </c>
      <c r="R419">
        <v>0</v>
      </c>
      <c r="S419">
        <v>1</v>
      </c>
      <c r="T419">
        <v>30.9</v>
      </c>
      <c r="U419">
        <v>27.76</v>
      </c>
      <c r="V419" t="s">
        <v>38</v>
      </c>
      <c r="W419">
        <v>0</v>
      </c>
      <c r="X419" t="s">
        <v>59</v>
      </c>
    </row>
    <row r="420" spans="1:24" x14ac:dyDescent="0.3">
      <c r="A420" t="s">
        <v>472</v>
      </c>
      <c r="B420" t="s">
        <v>25</v>
      </c>
      <c r="C420" s="2">
        <v>46080.463194444441</v>
      </c>
      <c r="D420" s="2">
        <v>46080.584027777782</v>
      </c>
      <c r="E420">
        <v>2.9</v>
      </c>
      <c r="F420">
        <v>39.15</v>
      </c>
      <c r="G420" t="b">
        <v>0</v>
      </c>
      <c r="H420" s="2">
        <v>46080</v>
      </c>
      <c r="I420">
        <v>11</v>
      </c>
      <c r="J420" t="s">
        <v>41</v>
      </c>
      <c r="K420">
        <v>0</v>
      </c>
      <c r="L420" t="s">
        <v>35</v>
      </c>
      <c r="M420">
        <v>2.9</v>
      </c>
      <c r="N420" t="s">
        <v>28</v>
      </c>
      <c r="O420">
        <v>70</v>
      </c>
      <c r="P420" t="s">
        <v>29</v>
      </c>
      <c r="Q420">
        <v>0</v>
      </c>
      <c r="R420">
        <v>0</v>
      </c>
      <c r="S420">
        <v>0</v>
      </c>
      <c r="T420">
        <v>28.4</v>
      </c>
      <c r="U420">
        <v>39.15</v>
      </c>
      <c r="V420" t="s">
        <v>38</v>
      </c>
      <c r="W420">
        <v>0</v>
      </c>
      <c r="X420" t="s">
        <v>31</v>
      </c>
    </row>
    <row r="421" spans="1:24" x14ac:dyDescent="0.3">
      <c r="A421" t="s">
        <v>473</v>
      </c>
      <c r="B421" t="s">
        <v>47</v>
      </c>
      <c r="C421" s="2">
        <v>46082.747916666667</v>
      </c>
      <c r="D421" s="2">
        <v>46082.81527777778</v>
      </c>
      <c r="E421">
        <v>1.6166666666666669</v>
      </c>
      <c r="F421">
        <v>20.41</v>
      </c>
      <c r="G421" t="b">
        <v>0</v>
      </c>
      <c r="H421" s="2">
        <v>46082</v>
      </c>
      <c r="I421">
        <v>17</v>
      </c>
      <c r="J421" t="s">
        <v>52</v>
      </c>
      <c r="K421">
        <v>1</v>
      </c>
      <c r="L421" t="s">
        <v>42</v>
      </c>
      <c r="M421">
        <v>1.6166666666666669</v>
      </c>
      <c r="N421" t="s">
        <v>49</v>
      </c>
      <c r="O421">
        <v>50</v>
      </c>
      <c r="P421" t="s">
        <v>50</v>
      </c>
      <c r="Q421">
        <v>1</v>
      </c>
      <c r="R421">
        <v>0</v>
      </c>
      <c r="S421">
        <v>1</v>
      </c>
      <c r="T421">
        <v>33.9</v>
      </c>
      <c r="U421">
        <v>20.41</v>
      </c>
      <c r="V421" t="s">
        <v>30</v>
      </c>
      <c r="W421">
        <v>0</v>
      </c>
      <c r="X421" t="s">
        <v>59</v>
      </c>
    </row>
    <row r="422" spans="1:24" x14ac:dyDescent="0.3">
      <c r="A422" t="s">
        <v>474</v>
      </c>
      <c r="B422" t="s">
        <v>47</v>
      </c>
      <c r="C422" s="2">
        <v>46083.893055555563</v>
      </c>
      <c r="D422" s="2">
        <v>46084.017361111109</v>
      </c>
      <c r="E422">
        <v>2.9833333333333329</v>
      </c>
      <c r="F422">
        <v>41.15</v>
      </c>
      <c r="G422" t="b">
        <v>0</v>
      </c>
      <c r="H422" s="2">
        <v>46083</v>
      </c>
      <c r="I422">
        <v>21</v>
      </c>
      <c r="J422" t="s">
        <v>54</v>
      </c>
      <c r="K422">
        <v>0</v>
      </c>
      <c r="L422" t="s">
        <v>66</v>
      </c>
      <c r="M422">
        <v>2.9833333333333329</v>
      </c>
      <c r="N422" t="s">
        <v>49</v>
      </c>
      <c r="O422">
        <v>50</v>
      </c>
      <c r="P422" t="s">
        <v>50</v>
      </c>
      <c r="Q422">
        <v>0</v>
      </c>
      <c r="R422">
        <v>0</v>
      </c>
      <c r="S422">
        <v>0</v>
      </c>
      <c r="T422">
        <v>28.5</v>
      </c>
      <c r="U422">
        <v>41.15</v>
      </c>
      <c r="V422" t="s">
        <v>30</v>
      </c>
      <c r="W422">
        <v>0</v>
      </c>
      <c r="X422" t="s">
        <v>31</v>
      </c>
    </row>
    <row r="423" spans="1:24" x14ac:dyDescent="0.3">
      <c r="A423" t="s">
        <v>475</v>
      </c>
      <c r="B423" t="s">
        <v>61</v>
      </c>
      <c r="C423" s="2">
        <v>46084.643750000003</v>
      </c>
      <c r="D423" s="2">
        <v>46084.704861111109</v>
      </c>
      <c r="E423">
        <v>1.466666666666667</v>
      </c>
      <c r="F423">
        <v>24.69</v>
      </c>
      <c r="G423" t="b">
        <v>0</v>
      </c>
      <c r="H423" s="2">
        <v>46084</v>
      </c>
      <c r="I423">
        <v>15</v>
      </c>
      <c r="J423" t="s">
        <v>56</v>
      </c>
      <c r="K423">
        <v>0</v>
      </c>
      <c r="L423" t="s">
        <v>27</v>
      </c>
      <c r="M423">
        <v>1.466666666666667</v>
      </c>
      <c r="N423" t="s">
        <v>62</v>
      </c>
      <c r="O423">
        <v>80</v>
      </c>
      <c r="P423" t="s">
        <v>37</v>
      </c>
      <c r="Q423">
        <v>0</v>
      </c>
      <c r="R423">
        <v>0</v>
      </c>
      <c r="S423">
        <v>0</v>
      </c>
      <c r="T423">
        <v>33.5</v>
      </c>
      <c r="U423">
        <v>24.69</v>
      </c>
      <c r="V423" t="s">
        <v>30</v>
      </c>
      <c r="W423">
        <v>0</v>
      </c>
      <c r="X423" t="s">
        <v>31</v>
      </c>
    </row>
    <row r="424" spans="1:24" x14ac:dyDescent="0.3">
      <c r="A424" t="s">
        <v>476</v>
      </c>
      <c r="B424" t="s">
        <v>40</v>
      </c>
      <c r="C424" s="2">
        <v>46085.654166666667</v>
      </c>
      <c r="D424" s="2">
        <v>46085.670138888891</v>
      </c>
      <c r="E424">
        <v>0.38333333333333341</v>
      </c>
      <c r="F424">
        <v>10</v>
      </c>
      <c r="G424" t="b">
        <v>0</v>
      </c>
      <c r="H424" s="2">
        <v>46085</v>
      </c>
      <c r="I424">
        <v>15</v>
      </c>
      <c r="J424" t="s">
        <v>26</v>
      </c>
      <c r="K424">
        <v>0</v>
      </c>
      <c r="L424" t="s">
        <v>27</v>
      </c>
      <c r="M424">
        <v>0.38333333333333341</v>
      </c>
      <c r="N424" t="s">
        <v>43</v>
      </c>
      <c r="O424">
        <v>100</v>
      </c>
      <c r="P424" t="s">
        <v>44</v>
      </c>
      <c r="Q424">
        <v>0</v>
      </c>
      <c r="R424">
        <v>0</v>
      </c>
      <c r="S424">
        <v>0</v>
      </c>
      <c r="T424">
        <v>26.7</v>
      </c>
      <c r="U424">
        <v>10</v>
      </c>
      <c r="V424" t="s">
        <v>38</v>
      </c>
      <c r="W424">
        <v>0</v>
      </c>
      <c r="X424" t="s">
        <v>31</v>
      </c>
    </row>
    <row r="425" spans="1:24" x14ac:dyDescent="0.3">
      <c r="A425" t="s">
        <v>477</v>
      </c>
      <c r="B425" t="s">
        <v>47</v>
      </c>
      <c r="C425" s="2">
        <v>46086.532638888893</v>
      </c>
      <c r="D425" s="2">
        <v>46086.865972222222</v>
      </c>
      <c r="E425">
        <v>8</v>
      </c>
      <c r="F425">
        <v>135.61000000000001</v>
      </c>
      <c r="G425" t="b">
        <v>0</v>
      </c>
      <c r="H425" s="2">
        <v>46086</v>
      </c>
      <c r="I425">
        <v>12</v>
      </c>
      <c r="J425" t="s">
        <v>34</v>
      </c>
      <c r="K425">
        <v>0</v>
      </c>
      <c r="L425" t="s">
        <v>27</v>
      </c>
      <c r="M425">
        <v>8</v>
      </c>
      <c r="N425" t="s">
        <v>49</v>
      </c>
      <c r="O425">
        <v>50</v>
      </c>
      <c r="P425" t="s">
        <v>50</v>
      </c>
      <c r="Q425">
        <v>0</v>
      </c>
      <c r="R425">
        <v>0</v>
      </c>
      <c r="S425">
        <v>0</v>
      </c>
      <c r="T425">
        <v>25.4</v>
      </c>
      <c r="U425">
        <v>135.61000000000001</v>
      </c>
      <c r="V425" t="s">
        <v>45</v>
      </c>
      <c r="W425">
        <v>0</v>
      </c>
      <c r="X425" t="s">
        <v>31</v>
      </c>
    </row>
    <row r="426" spans="1:24" x14ac:dyDescent="0.3">
      <c r="A426" t="s">
        <v>478</v>
      </c>
      <c r="B426" t="s">
        <v>40</v>
      </c>
      <c r="C426" s="2">
        <v>46087.709027777782</v>
      </c>
      <c r="D426" s="2">
        <v>46087.719444444447</v>
      </c>
      <c r="E426">
        <v>0.25</v>
      </c>
      <c r="F426">
        <v>10</v>
      </c>
      <c r="G426" t="b">
        <v>0</v>
      </c>
      <c r="H426" s="2">
        <v>46087</v>
      </c>
      <c r="I426">
        <v>17</v>
      </c>
      <c r="J426" t="s">
        <v>41</v>
      </c>
      <c r="K426">
        <v>0</v>
      </c>
      <c r="L426" t="s">
        <v>42</v>
      </c>
      <c r="M426">
        <v>0.25</v>
      </c>
      <c r="N426" t="s">
        <v>43</v>
      </c>
      <c r="O426">
        <v>100</v>
      </c>
      <c r="P426" t="s">
        <v>44</v>
      </c>
      <c r="Q426">
        <v>0</v>
      </c>
      <c r="R426">
        <v>0</v>
      </c>
      <c r="S426">
        <v>1</v>
      </c>
      <c r="T426">
        <v>27</v>
      </c>
      <c r="U426">
        <v>10</v>
      </c>
      <c r="V426" t="s">
        <v>30</v>
      </c>
      <c r="W426">
        <v>0</v>
      </c>
      <c r="X426" t="s">
        <v>59</v>
      </c>
    </row>
    <row r="427" spans="1:24" x14ac:dyDescent="0.3">
      <c r="A427" t="s">
        <v>479</v>
      </c>
      <c r="B427" t="s">
        <v>33</v>
      </c>
      <c r="C427" s="2">
        <v>46088.443749999999</v>
      </c>
      <c r="D427" s="2">
        <v>46088.480555555558</v>
      </c>
      <c r="E427">
        <v>0.8833333333333333</v>
      </c>
      <c r="F427">
        <v>10</v>
      </c>
      <c r="G427" t="b">
        <v>0</v>
      </c>
      <c r="H427" s="2">
        <v>46088</v>
      </c>
      <c r="I427">
        <v>10</v>
      </c>
      <c r="J427" t="s">
        <v>48</v>
      </c>
      <c r="K427">
        <v>1</v>
      </c>
      <c r="L427" t="s">
        <v>35</v>
      </c>
      <c r="M427">
        <v>0.8833333333333333</v>
      </c>
      <c r="N427" t="s">
        <v>36</v>
      </c>
      <c r="O427">
        <v>60</v>
      </c>
      <c r="P427" t="s">
        <v>37</v>
      </c>
      <c r="Q427">
        <v>1</v>
      </c>
      <c r="R427">
        <v>0</v>
      </c>
      <c r="S427">
        <v>0</v>
      </c>
      <c r="T427">
        <v>22.7</v>
      </c>
      <c r="U427">
        <v>10</v>
      </c>
      <c r="V427" t="s">
        <v>38</v>
      </c>
      <c r="W427">
        <v>0</v>
      </c>
      <c r="X427" t="s">
        <v>31</v>
      </c>
    </row>
    <row r="428" spans="1:24" x14ac:dyDescent="0.3">
      <c r="A428" t="s">
        <v>480</v>
      </c>
      <c r="B428" t="s">
        <v>25</v>
      </c>
      <c r="C428" s="2">
        <v>46089.631944444453</v>
      </c>
      <c r="D428" s="2">
        <v>46089.724999999999</v>
      </c>
      <c r="E428">
        <v>2.2333333333333329</v>
      </c>
      <c r="F428">
        <v>43.7</v>
      </c>
      <c r="G428" t="b">
        <v>0</v>
      </c>
      <c r="H428" s="2">
        <v>46089</v>
      </c>
      <c r="I428">
        <v>15</v>
      </c>
      <c r="J428" t="s">
        <v>52</v>
      </c>
      <c r="K428">
        <v>1</v>
      </c>
      <c r="L428" t="s">
        <v>27</v>
      </c>
      <c r="M428">
        <v>2.2333333333333329</v>
      </c>
      <c r="N428" t="s">
        <v>28</v>
      </c>
      <c r="O428">
        <v>70</v>
      </c>
      <c r="P428" t="s">
        <v>29</v>
      </c>
      <c r="Q428">
        <v>1</v>
      </c>
      <c r="R428">
        <v>0</v>
      </c>
      <c r="S428">
        <v>1</v>
      </c>
      <c r="T428">
        <v>29.1</v>
      </c>
      <c r="U428">
        <v>43.7</v>
      </c>
      <c r="V428" t="s">
        <v>45</v>
      </c>
      <c r="W428">
        <v>0</v>
      </c>
      <c r="X428" t="s">
        <v>59</v>
      </c>
    </row>
    <row r="429" spans="1:24" x14ac:dyDescent="0.3">
      <c r="A429" t="s">
        <v>481</v>
      </c>
      <c r="B429" t="s">
        <v>25</v>
      </c>
      <c r="C429" s="2">
        <v>46090.906944444447</v>
      </c>
      <c r="D429" s="2">
        <v>46091.036805555559</v>
      </c>
      <c r="E429">
        <v>3.1166666666666671</v>
      </c>
      <c r="F429">
        <v>52.65</v>
      </c>
      <c r="G429" t="b">
        <v>0</v>
      </c>
      <c r="H429" s="2">
        <v>46090</v>
      </c>
      <c r="I429">
        <v>21</v>
      </c>
      <c r="J429" t="s">
        <v>54</v>
      </c>
      <c r="K429">
        <v>0</v>
      </c>
      <c r="L429" t="s">
        <v>66</v>
      </c>
      <c r="M429">
        <v>3.1166666666666671</v>
      </c>
      <c r="N429" t="s">
        <v>28</v>
      </c>
      <c r="O429">
        <v>70</v>
      </c>
      <c r="P429" t="s">
        <v>29</v>
      </c>
      <c r="Q429">
        <v>0</v>
      </c>
      <c r="R429">
        <v>0</v>
      </c>
      <c r="S429">
        <v>1</v>
      </c>
      <c r="T429">
        <v>29.7</v>
      </c>
      <c r="U429">
        <v>52.65</v>
      </c>
      <c r="V429" t="s">
        <v>38</v>
      </c>
      <c r="W429">
        <v>0</v>
      </c>
      <c r="X429" t="s">
        <v>59</v>
      </c>
    </row>
    <row r="430" spans="1:24" x14ac:dyDescent="0.3">
      <c r="A430" t="s">
        <v>482</v>
      </c>
      <c r="B430" t="s">
        <v>25</v>
      </c>
      <c r="C430" s="2">
        <v>46091.925694444442</v>
      </c>
      <c r="D430" s="2">
        <v>46091.95416666667</v>
      </c>
      <c r="E430">
        <v>0.68333333333333335</v>
      </c>
      <c r="F430">
        <v>10</v>
      </c>
      <c r="G430" t="b">
        <v>0</v>
      </c>
      <c r="H430" s="2">
        <v>46091</v>
      </c>
      <c r="I430">
        <v>22</v>
      </c>
      <c r="J430" t="s">
        <v>56</v>
      </c>
      <c r="K430">
        <v>0</v>
      </c>
      <c r="L430" t="s">
        <v>66</v>
      </c>
      <c r="M430">
        <v>0.68333333333333335</v>
      </c>
      <c r="N430" t="s">
        <v>28</v>
      </c>
      <c r="O430">
        <v>70</v>
      </c>
      <c r="P430" t="s">
        <v>29</v>
      </c>
      <c r="Q430">
        <v>0</v>
      </c>
      <c r="R430">
        <v>0</v>
      </c>
      <c r="S430">
        <v>0</v>
      </c>
      <c r="T430">
        <v>27</v>
      </c>
      <c r="U430">
        <v>10</v>
      </c>
      <c r="V430" t="s">
        <v>38</v>
      </c>
      <c r="W430">
        <v>0</v>
      </c>
      <c r="X430" t="s">
        <v>31</v>
      </c>
    </row>
    <row r="431" spans="1:24" x14ac:dyDescent="0.3">
      <c r="A431" t="s">
        <v>483</v>
      </c>
      <c r="B431" t="s">
        <v>40</v>
      </c>
      <c r="C431" s="2">
        <v>46092.76458333333</v>
      </c>
      <c r="D431" s="2">
        <v>46092.870138888888</v>
      </c>
      <c r="E431">
        <v>2.5333333333333332</v>
      </c>
      <c r="F431">
        <v>38.89</v>
      </c>
      <c r="G431" t="b">
        <v>0</v>
      </c>
      <c r="H431" s="2">
        <v>46092</v>
      </c>
      <c r="I431">
        <v>18</v>
      </c>
      <c r="J431" t="s">
        <v>26</v>
      </c>
      <c r="K431">
        <v>0</v>
      </c>
      <c r="L431" t="s">
        <v>42</v>
      </c>
      <c r="M431">
        <v>2.5333333333333332</v>
      </c>
      <c r="N431" t="s">
        <v>43</v>
      </c>
      <c r="O431">
        <v>100</v>
      </c>
      <c r="P431" t="s">
        <v>44</v>
      </c>
      <c r="Q431">
        <v>0</v>
      </c>
      <c r="R431">
        <v>0</v>
      </c>
      <c r="S431">
        <v>0</v>
      </c>
      <c r="T431">
        <v>31.2</v>
      </c>
      <c r="U431">
        <v>38.89</v>
      </c>
      <c r="V431" t="s">
        <v>45</v>
      </c>
      <c r="W431">
        <v>0</v>
      </c>
      <c r="X431" t="s">
        <v>31</v>
      </c>
    </row>
    <row r="432" spans="1:24" x14ac:dyDescent="0.3">
      <c r="A432" t="s">
        <v>484</v>
      </c>
      <c r="B432" t="s">
        <v>40</v>
      </c>
      <c r="C432" s="2">
        <v>46093.786111111112</v>
      </c>
      <c r="D432" s="2">
        <v>46093.861805555563</v>
      </c>
      <c r="E432">
        <v>1.8166666666666671</v>
      </c>
      <c r="F432">
        <v>23.88</v>
      </c>
      <c r="G432" t="b">
        <v>0</v>
      </c>
      <c r="H432" s="2">
        <v>46093</v>
      </c>
      <c r="I432">
        <v>18</v>
      </c>
      <c r="J432" t="s">
        <v>34</v>
      </c>
      <c r="K432">
        <v>0</v>
      </c>
      <c r="L432" t="s">
        <v>42</v>
      </c>
      <c r="M432">
        <v>1.8166666666666671</v>
      </c>
      <c r="N432" t="s">
        <v>43</v>
      </c>
      <c r="O432">
        <v>100</v>
      </c>
      <c r="P432" t="s">
        <v>44</v>
      </c>
      <c r="Q432">
        <v>0</v>
      </c>
      <c r="R432">
        <v>0</v>
      </c>
      <c r="S432">
        <v>0</v>
      </c>
      <c r="T432">
        <v>28.4</v>
      </c>
      <c r="U432">
        <v>23.88</v>
      </c>
      <c r="V432" t="s">
        <v>30</v>
      </c>
      <c r="W432">
        <v>0</v>
      </c>
      <c r="X432" t="s">
        <v>31</v>
      </c>
    </row>
    <row r="433" spans="1:24" x14ac:dyDescent="0.3">
      <c r="A433" t="s">
        <v>485</v>
      </c>
      <c r="B433" t="s">
        <v>40</v>
      </c>
      <c r="C433" s="2">
        <v>46094.286805555559</v>
      </c>
      <c r="D433" s="2">
        <v>46094.338194444441</v>
      </c>
      <c r="E433">
        <v>1.2333333333333329</v>
      </c>
      <c r="F433">
        <v>20.350000000000001</v>
      </c>
      <c r="G433" t="b">
        <v>0</v>
      </c>
      <c r="H433" s="2">
        <v>46094</v>
      </c>
      <c r="I433">
        <v>6</v>
      </c>
      <c r="J433" t="s">
        <v>41</v>
      </c>
      <c r="K433">
        <v>0</v>
      </c>
      <c r="L433" t="s">
        <v>35</v>
      </c>
      <c r="M433">
        <v>1.2333333333333329</v>
      </c>
      <c r="N433" t="s">
        <v>43</v>
      </c>
      <c r="O433">
        <v>100</v>
      </c>
      <c r="P433" t="s">
        <v>44</v>
      </c>
      <c r="Q433">
        <v>0</v>
      </c>
      <c r="R433">
        <v>0</v>
      </c>
      <c r="S433">
        <v>0</v>
      </c>
      <c r="T433">
        <v>27.2</v>
      </c>
      <c r="U433">
        <v>20.350000000000001</v>
      </c>
      <c r="V433" t="s">
        <v>38</v>
      </c>
      <c r="W433">
        <v>0</v>
      </c>
      <c r="X433" t="s">
        <v>31</v>
      </c>
    </row>
    <row r="434" spans="1:24" x14ac:dyDescent="0.3">
      <c r="A434" t="s">
        <v>486</v>
      </c>
      <c r="B434" t="s">
        <v>33</v>
      </c>
      <c r="C434" s="2">
        <v>46095.688194444447</v>
      </c>
      <c r="D434" s="2">
        <v>46095.758333333331</v>
      </c>
      <c r="E434">
        <v>1.6833333333333329</v>
      </c>
      <c r="F434">
        <v>21.75</v>
      </c>
      <c r="G434" t="b">
        <v>0</v>
      </c>
      <c r="H434" s="2">
        <v>46095</v>
      </c>
      <c r="I434">
        <v>16</v>
      </c>
      <c r="J434" t="s">
        <v>48</v>
      </c>
      <c r="K434">
        <v>1</v>
      </c>
      <c r="L434" t="s">
        <v>27</v>
      </c>
      <c r="M434">
        <v>1.6833333333333329</v>
      </c>
      <c r="N434" t="s">
        <v>36</v>
      </c>
      <c r="O434">
        <v>60</v>
      </c>
      <c r="P434" t="s">
        <v>37</v>
      </c>
      <c r="Q434">
        <v>1</v>
      </c>
      <c r="R434">
        <v>0</v>
      </c>
      <c r="S434">
        <v>1</v>
      </c>
      <c r="T434">
        <v>30.7</v>
      </c>
      <c r="U434">
        <v>21.75</v>
      </c>
      <c r="V434" t="s">
        <v>38</v>
      </c>
      <c r="W434">
        <v>0</v>
      </c>
      <c r="X434" t="s">
        <v>59</v>
      </c>
    </row>
    <row r="435" spans="1:24" x14ac:dyDescent="0.3">
      <c r="A435" t="s">
        <v>487</v>
      </c>
      <c r="B435" t="s">
        <v>47</v>
      </c>
      <c r="C435" s="2">
        <v>46096.719444444447</v>
      </c>
      <c r="D435" s="2">
        <v>46096.794444444437</v>
      </c>
      <c r="E435">
        <v>1.8</v>
      </c>
      <c r="F435">
        <v>32.159999999999997</v>
      </c>
      <c r="G435" t="b">
        <v>0</v>
      </c>
      <c r="H435" s="2">
        <v>46096</v>
      </c>
      <c r="I435">
        <v>17</v>
      </c>
      <c r="J435" t="s">
        <v>52</v>
      </c>
      <c r="K435">
        <v>1</v>
      </c>
      <c r="L435" t="s">
        <v>42</v>
      </c>
      <c r="M435">
        <v>1.8</v>
      </c>
      <c r="N435" t="s">
        <v>49</v>
      </c>
      <c r="O435">
        <v>50</v>
      </c>
      <c r="P435" t="s">
        <v>50</v>
      </c>
      <c r="Q435">
        <v>1</v>
      </c>
      <c r="R435">
        <v>0</v>
      </c>
      <c r="S435">
        <v>0</v>
      </c>
      <c r="T435">
        <v>23.9</v>
      </c>
      <c r="U435">
        <v>32.159999999999997</v>
      </c>
      <c r="V435" t="s">
        <v>30</v>
      </c>
      <c r="W435">
        <v>0</v>
      </c>
      <c r="X435" t="s">
        <v>31</v>
      </c>
    </row>
    <row r="436" spans="1:24" x14ac:dyDescent="0.3">
      <c r="A436" t="s">
        <v>488</v>
      </c>
      <c r="B436" t="s">
        <v>61</v>
      </c>
      <c r="C436" s="2">
        <v>46097.825694444437</v>
      </c>
      <c r="D436" s="2">
        <v>46097.873611111107</v>
      </c>
      <c r="E436">
        <v>1.1499999999999999</v>
      </c>
      <c r="F436">
        <v>23.45</v>
      </c>
      <c r="G436" t="b">
        <v>0</v>
      </c>
      <c r="H436" s="2">
        <v>46097</v>
      </c>
      <c r="I436">
        <v>19</v>
      </c>
      <c r="J436" t="s">
        <v>54</v>
      </c>
      <c r="K436">
        <v>0</v>
      </c>
      <c r="L436" t="s">
        <v>42</v>
      </c>
      <c r="M436">
        <v>1.1499999999999999</v>
      </c>
      <c r="N436" t="s">
        <v>62</v>
      </c>
      <c r="O436">
        <v>80</v>
      </c>
      <c r="P436" t="s">
        <v>37</v>
      </c>
      <c r="Q436">
        <v>0</v>
      </c>
      <c r="R436">
        <v>0</v>
      </c>
      <c r="S436">
        <v>0</v>
      </c>
      <c r="T436">
        <v>23.7</v>
      </c>
      <c r="U436">
        <v>23.45</v>
      </c>
      <c r="V436" t="s">
        <v>38</v>
      </c>
      <c r="W436">
        <v>0</v>
      </c>
      <c r="X436" t="s">
        <v>31</v>
      </c>
    </row>
    <row r="437" spans="1:24" x14ac:dyDescent="0.3">
      <c r="A437" t="s">
        <v>489</v>
      </c>
      <c r="B437" t="s">
        <v>33</v>
      </c>
      <c r="C437" s="2">
        <v>46098.838194444441</v>
      </c>
      <c r="D437" s="2">
        <v>46099.004166666673</v>
      </c>
      <c r="E437">
        <v>3.9833333333333329</v>
      </c>
      <c r="F437">
        <v>57.43</v>
      </c>
      <c r="G437" t="b">
        <v>0</v>
      </c>
      <c r="H437" s="2">
        <v>46098</v>
      </c>
      <c r="I437">
        <v>20</v>
      </c>
      <c r="J437" t="s">
        <v>56</v>
      </c>
      <c r="K437">
        <v>0</v>
      </c>
      <c r="L437" t="s">
        <v>42</v>
      </c>
      <c r="M437">
        <v>3.9833333333333329</v>
      </c>
      <c r="N437" t="s">
        <v>36</v>
      </c>
      <c r="O437">
        <v>60</v>
      </c>
      <c r="P437" t="s">
        <v>37</v>
      </c>
      <c r="Q437">
        <v>0</v>
      </c>
      <c r="R437">
        <v>0</v>
      </c>
      <c r="S437">
        <v>0</v>
      </c>
      <c r="T437">
        <v>32.6</v>
      </c>
      <c r="U437">
        <v>57.43</v>
      </c>
      <c r="V437" t="s">
        <v>45</v>
      </c>
      <c r="W437">
        <v>0</v>
      </c>
      <c r="X437" t="s">
        <v>31</v>
      </c>
    </row>
    <row r="438" spans="1:24" x14ac:dyDescent="0.3">
      <c r="A438" t="s">
        <v>490</v>
      </c>
      <c r="B438" t="s">
        <v>25</v>
      </c>
      <c r="C438" s="2">
        <v>46099.79791666667</v>
      </c>
      <c r="D438" s="2">
        <v>46099.870833333327</v>
      </c>
      <c r="E438">
        <v>1.75</v>
      </c>
      <c r="F438">
        <v>24.2</v>
      </c>
      <c r="G438" t="b">
        <v>0</v>
      </c>
      <c r="H438" s="2">
        <v>46099</v>
      </c>
      <c r="I438">
        <v>19</v>
      </c>
      <c r="J438" t="s">
        <v>26</v>
      </c>
      <c r="K438">
        <v>0</v>
      </c>
      <c r="L438" t="s">
        <v>42</v>
      </c>
      <c r="M438">
        <v>1.75</v>
      </c>
      <c r="N438" t="s">
        <v>28</v>
      </c>
      <c r="O438">
        <v>70</v>
      </c>
      <c r="P438" t="s">
        <v>29</v>
      </c>
      <c r="Q438">
        <v>0</v>
      </c>
      <c r="R438">
        <v>0</v>
      </c>
      <c r="S438">
        <v>1</v>
      </c>
      <c r="T438">
        <v>29.2</v>
      </c>
      <c r="U438">
        <v>24.2</v>
      </c>
      <c r="V438" t="s">
        <v>38</v>
      </c>
      <c r="W438">
        <v>0</v>
      </c>
      <c r="X438" t="s">
        <v>59</v>
      </c>
    </row>
    <row r="439" spans="1:24" x14ac:dyDescent="0.3">
      <c r="A439" t="s">
        <v>491</v>
      </c>
      <c r="B439" t="s">
        <v>61</v>
      </c>
      <c r="C439" s="2">
        <v>46100.713194444441</v>
      </c>
      <c r="D439" s="2">
        <v>46100.763194444437</v>
      </c>
      <c r="E439">
        <v>1.2</v>
      </c>
      <c r="F439">
        <v>22.17</v>
      </c>
      <c r="G439" t="b">
        <v>0</v>
      </c>
      <c r="H439" s="2">
        <v>46100</v>
      </c>
      <c r="I439">
        <v>17</v>
      </c>
      <c r="J439" t="s">
        <v>34</v>
      </c>
      <c r="K439">
        <v>0</v>
      </c>
      <c r="L439" t="s">
        <v>42</v>
      </c>
      <c r="M439">
        <v>1.2</v>
      </c>
      <c r="N439" t="s">
        <v>62</v>
      </c>
      <c r="O439">
        <v>80</v>
      </c>
      <c r="P439" t="s">
        <v>37</v>
      </c>
      <c r="Q439">
        <v>0</v>
      </c>
      <c r="R439">
        <v>0</v>
      </c>
      <c r="S439">
        <v>0</v>
      </c>
      <c r="T439">
        <v>31.7</v>
      </c>
      <c r="U439">
        <v>22.17</v>
      </c>
      <c r="V439" t="s">
        <v>38</v>
      </c>
      <c r="W439">
        <v>0</v>
      </c>
      <c r="X439" t="s">
        <v>31</v>
      </c>
    </row>
    <row r="440" spans="1:24" x14ac:dyDescent="0.3">
      <c r="A440" t="s">
        <v>492</v>
      </c>
      <c r="B440" t="s">
        <v>47</v>
      </c>
      <c r="C440" s="2">
        <v>46101.377083333333</v>
      </c>
      <c r="D440" s="2">
        <v>46101.57916666667</v>
      </c>
      <c r="E440">
        <v>4.8499999999999996</v>
      </c>
      <c r="F440">
        <v>64.27</v>
      </c>
      <c r="G440" t="b">
        <v>0</v>
      </c>
      <c r="H440" s="2">
        <v>46101</v>
      </c>
      <c r="I440">
        <v>9</v>
      </c>
      <c r="J440" t="s">
        <v>41</v>
      </c>
      <c r="K440">
        <v>0</v>
      </c>
      <c r="L440" t="s">
        <v>35</v>
      </c>
      <c r="M440">
        <v>4.8499999999999996</v>
      </c>
      <c r="N440" t="s">
        <v>49</v>
      </c>
      <c r="O440">
        <v>50</v>
      </c>
      <c r="P440" t="s">
        <v>50</v>
      </c>
      <c r="Q440">
        <v>0</v>
      </c>
      <c r="R440">
        <v>0</v>
      </c>
      <c r="S440">
        <v>0</v>
      </c>
      <c r="T440">
        <v>29.3</v>
      </c>
      <c r="U440">
        <v>64.27</v>
      </c>
      <c r="V440" t="s">
        <v>45</v>
      </c>
      <c r="W440">
        <v>0</v>
      </c>
      <c r="X440" t="s">
        <v>31</v>
      </c>
    </row>
    <row r="441" spans="1:24" x14ac:dyDescent="0.3">
      <c r="A441" t="s">
        <v>493</v>
      </c>
      <c r="B441" t="s">
        <v>61</v>
      </c>
      <c r="C441" s="2">
        <v>46102.448611111111</v>
      </c>
      <c r="D441" s="2">
        <v>46102.512499999997</v>
      </c>
      <c r="E441">
        <v>1.533333333333333</v>
      </c>
      <c r="F441">
        <v>27.43</v>
      </c>
      <c r="G441" t="b">
        <v>0</v>
      </c>
      <c r="H441" s="2">
        <v>46102</v>
      </c>
      <c r="I441">
        <v>10</v>
      </c>
      <c r="J441" t="s">
        <v>48</v>
      </c>
      <c r="K441">
        <v>1</v>
      </c>
      <c r="L441" t="s">
        <v>35</v>
      </c>
      <c r="M441">
        <v>1.533333333333333</v>
      </c>
      <c r="N441" t="s">
        <v>62</v>
      </c>
      <c r="O441">
        <v>80</v>
      </c>
      <c r="P441" t="s">
        <v>37</v>
      </c>
      <c r="Q441">
        <v>1</v>
      </c>
      <c r="R441">
        <v>0</v>
      </c>
      <c r="S441">
        <v>1</v>
      </c>
      <c r="T441">
        <v>25.8</v>
      </c>
      <c r="U441">
        <v>27.43</v>
      </c>
      <c r="V441" t="s">
        <v>30</v>
      </c>
      <c r="W441">
        <v>0</v>
      </c>
      <c r="X441" t="s">
        <v>59</v>
      </c>
    </row>
    <row r="442" spans="1:24" x14ac:dyDescent="0.3">
      <c r="A442" t="s">
        <v>494</v>
      </c>
      <c r="B442" t="s">
        <v>25</v>
      </c>
      <c r="C442" s="2">
        <v>46103.813888888893</v>
      </c>
      <c r="F442">
        <v>19.16</v>
      </c>
      <c r="G442" t="b">
        <v>1</v>
      </c>
      <c r="H442" s="2">
        <v>46103</v>
      </c>
      <c r="I442">
        <v>19</v>
      </c>
      <c r="J442" t="s">
        <v>52</v>
      </c>
      <c r="K442">
        <v>1</v>
      </c>
      <c r="L442" t="s">
        <v>42</v>
      </c>
      <c r="N442" t="s">
        <v>28</v>
      </c>
      <c r="O442">
        <v>70</v>
      </c>
      <c r="P442" t="s">
        <v>29</v>
      </c>
      <c r="Q442">
        <v>1</v>
      </c>
      <c r="R442">
        <v>0</v>
      </c>
      <c r="S442">
        <v>1</v>
      </c>
      <c r="T442">
        <v>34.5</v>
      </c>
      <c r="U442">
        <v>19.16</v>
      </c>
      <c r="V442" t="s">
        <v>45</v>
      </c>
      <c r="W442">
        <v>0</v>
      </c>
      <c r="X442" t="s">
        <v>59</v>
      </c>
    </row>
    <row r="443" spans="1:24" x14ac:dyDescent="0.3">
      <c r="A443" t="s">
        <v>495</v>
      </c>
      <c r="B443" t="s">
        <v>61</v>
      </c>
      <c r="C443" s="2">
        <v>46104.874305555553</v>
      </c>
      <c r="D443" s="2">
        <v>46104.897916666669</v>
      </c>
      <c r="E443">
        <v>0.56666666666666665</v>
      </c>
      <c r="F443">
        <v>10</v>
      </c>
      <c r="G443" t="b">
        <v>0</v>
      </c>
      <c r="H443" s="2">
        <v>46104</v>
      </c>
      <c r="I443">
        <v>20</v>
      </c>
      <c r="J443" t="s">
        <v>54</v>
      </c>
      <c r="K443">
        <v>0</v>
      </c>
      <c r="L443" t="s">
        <v>42</v>
      </c>
      <c r="M443">
        <v>0.56666666666666665</v>
      </c>
      <c r="N443" t="s">
        <v>62</v>
      </c>
      <c r="O443">
        <v>80</v>
      </c>
      <c r="P443" t="s">
        <v>37</v>
      </c>
      <c r="Q443">
        <v>0</v>
      </c>
      <c r="R443">
        <v>0</v>
      </c>
      <c r="S443">
        <v>0</v>
      </c>
      <c r="T443">
        <v>32.6</v>
      </c>
      <c r="U443">
        <v>10</v>
      </c>
      <c r="V443" t="s">
        <v>38</v>
      </c>
      <c r="W443">
        <v>0</v>
      </c>
      <c r="X443" t="s">
        <v>31</v>
      </c>
    </row>
    <row r="444" spans="1:24" x14ac:dyDescent="0.3">
      <c r="A444" t="s">
        <v>496</v>
      </c>
      <c r="B444" t="s">
        <v>25</v>
      </c>
      <c r="C444" s="2">
        <v>46105.427083333343</v>
      </c>
      <c r="D444" s="2">
        <v>46105.481944444437</v>
      </c>
      <c r="E444">
        <v>1.3166666666666671</v>
      </c>
      <c r="F444">
        <v>27.92</v>
      </c>
      <c r="G444" t="b">
        <v>0</v>
      </c>
      <c r="H444" s="2">
        <v>46105</v>
      </c>
      <c r="I444">
        <v>10</v>
      </c>
      <c r="J444" t="s">
        <v>56</v>
      </c>
      <c r="K444">
        <v>0</v>
      </c>
      <c r="L444" t="s">
        <v>35</v>
      </c>
      <c r="M444">
        <v>1.3166666666666671</v>
      </c>
      <c r="N444" t="s">
        <v>28</v>
      </c>
      <c r="O444">
        <v>70</v>
      </c>
      <c r="P444" t="s">
        <v>29</v>
      </c>
      <c r="Q444">
        <v>0</v>
      </c>
      <c r="R444">
        <v>0</v>
      </c>
      <c r="S444">
        <v>0</v>
      </c>
      <c r="T444">
        <v>28.4</v>
      </c>
      <c r="U444">
        <v>27.92</v>
      </c>
      <c r="V444" t="s">
        <v>38</v>
      </c>
      <c r="W444">
        <v>0</v>
      </c>
      <c r="X444" t="s">
        <v>31</v>
      </c>
    </row>
    <row r="445" spans="1:24" x14ac:dyDescent="0.3">
      <c r="A445" t="s">
        <v>497</v>
      </c>
      <c r="B445" t="s">
        <v>33</v>
      </c>
      <c r="C445" s="2">
        <v>46106.751388888893</v>
      </c>
      <c r="D445" s="2">
        <v>46106.803472222222</v>
      </c>
      <c r="E445">
        <v>1.25</v>
      </c>
      <c r="F445">
        <v>21.56</v>
      </c>
      <c r="G445" t="b">
        <v>0</v>
      </c>
      <c r="H445" s="2">
        <v>46106</v>
      </c>
      <c r="I445">
        <v>18</v>
      </c>
      <c r="J445" t="s">
        <v>26</v>
      </c>
      <c r="K445">
        <v>0</v>
      </c>
      <c r="L445" t="s">
        <v>42</v>
      </c>
      <c r="M445">
        <v>1.25</v>
      </c>
      <c r="N445" t="s">
        <v>36</v>
      </c>
      <c r="O445">
        <v>60</v>
      </c>
      <c r="P445" t="s">
        <v>37</v>
      </c>
      <c r="Q445">
        <v>0</v>
      </c>
      <c r="R445">
        <v>0</v>
      </c>
      <c r="S445">
        <v>1</v>
      </c>
      <c r="T445">
        <v>25.1</v>
      </c>
      <c r="U445">
        <v>21.56</v>
      </c>
      <c r="V445" t="s">
        <v>38</v>
      </c>
      <c r="W445">
        <v>0</v>
      </c>
      <c r="X445" t="s">
        <v>59</v>
      </c>
    </row>
    <row r="446" spans="1:24" x14ac:dyDescent="0.3">
      <c r="A446" t="s">
        <v>498</v>
      </c>
      <c r="B446" t="s">
        <v>47</v>
      </c>
      <c r="C446" s="2">
        <v>46107.675000000003</v>
      </c>
      <c r="D446" s="2">
        <v>46107.920138888891</v>
      </c>
      <c r="E446">
        <v>5.8833333333333337</v>
      </c>
      <c r="F446">
        <v>80.09</v>
      </c>
      <c r="G446" t="b">
        <v>0</v>
      </c>
      <c r="H446" s="2">
        <v>46107</v>
      </c>
      <c r="I446">
        <v>16</v>
      </c>
      <c r="J446" t="s">
        <v>34</v>
      </c>
      <c r="K446">
        <v>0</v>
      </c>
      <c r="L446" t="s">
        <v>27</v>
      </c>
      <c r="M446">
        <v>5.8833333333333337</v>
      </c>
      <c r="N446" t="s">
        <v>49</v>
      </c>
      <c r="O446">
        <v>50</v>
      </c>
      <c r="P446" t="s">
        <v>50</v>
      </c>
      <c r="Q446">
        <v>0</v>
      </c>
      <c r="R446">
        <v>0</v>
      </c>
      <c r="S446">
        <v>0</v>
      </c>
      <c r="T446">
        <v>29.5</v>
      </c>
      <c r="U446">
        <v>80.09</v>
      </c>
      <c r="V446" t="s">
        <v>30</v>
      </c>
      <c r="W446">
        <v>0</v>
      </c>
      <c r="X446" t="s">
        <v>31</v>
      </c>
    </row>
    <row r="447" spans="1:24" x14ac:dyDescent="0.3">
      <c r="A447" t="s">
        <v>499</v>
      </c>
      <c r="B447" t="s">
        <v>47</v>
      </c>
      <c r="C447" s="2">
        <v>46108.511111111111</v>
      </c>
      <c r="D447" s="2">
        <v>46108.664583333331</v>
      </c>
      <c r="E447">
        <v>3.6833333333333331</v>
      </c>
      <c r="F447">
        <v>60.84</v>
      </c>
      <c r="G447" t="b">
        <v>0</v>
      </c>
      <c r="H447" s="2">
        <v>46108</v>
      </c>
      <c r="I447">
        <v>12</v>
      </c>
      <c r="J447" t="s">
        <v>41</v>
      </c>
      <c r="K447">
        <v>0</v>
      </c>
      <c r="L447" t="s">
        <v>27</v>
      </c>
      <c r="M447">
        <v>3.6833333333333331</v>
      </c>
      <c r="N447" t="s">
        <v>49</v>
      </c>
      <c r="O447">
        <v>50</v>
      </c>
      <c r="P447" t="s">
        <v>50</v>
      </c>
      <c r="Q447">
        <v>0</v>
      </c>
      <c r="R447">
        <v>0</v>
      </c>
      <c r="S447">
        <v>1</v>
      </c>
      <c r="T447">
        <v>33.799999999999997</v>
      </c>
      <c r="U447">
        <v>60.84</v>
      </c>
      <c r="V447" t="s">
        <v>38</v>
      </c>
      <c r="W447">
        <v>0</v>
      </c>
      <c r="X447" t="s">
        <v>59</v>
      </c>
    </row>
    <row r="448" spans="1:24" x14ac:dyDescent="0.3">
      <c r="A448" t="s">
        <v>500</v>
      </c>
      <c r="B448" t="s">
        <v>33</v>
      </c>
      <c r="C448" s="2">
        <v>46109.700694444437</v>
      </c>
      <c r="D448" s="2">
        <v>46109.773611111108</v>
      </c>
      <c r="E448">
        <v>1.75</v>
      </c>
      <c r="F448">
        <v>16.73</v>
      </c>
      <c r="G448" t="b">
        <v>0</v>
      </c>
      <c r="H448" s="2">
        <v>46109</v>
      </c>
      <c r="I448">
        <v>16</v>
      </c>
      <c r="J448" t="s">
        <v>48</v>
      </c>
      <c r="K448">
        <v>1</v>
      </c>
      <c r="L448" t="s">
        <v>27</v>
      </c>
      <c r="M448">
        <v>1.75</v>
      </c>
      <c r="N448" t="s">
        <v>36</v>
      </c>
      <c r="O448">
        <v>60</v>
      </c>
      <c r="P448" t="s">
        <v>37</v>
      </c>
      <c r="Q448">
        <v>1</v>
      </c>
      <c r="R448">
        <v>0</v>
      </c>
      <c r="S448">
        <v>1</v>
      </c>
      <c r="T448">
        <v>33.5</v>
      </c>
      <c r="U448">
        <v>16.73</v>
      </c>
      <c r="V448" t="s">
        <v>30</v>
      </c>
      <c r="W448">
        <v>0</v>
      </c>
      <c r="X448" t="s">
        <v>59</v>
      </c>
    </row>
    <row r="449" spans="1:24" x14ac:dyDescent="0.3">
      <c r="A449" t="s">
        <v>501</v>
      </c>
      <c r="B449" t="s">
        <v>47</v>
      </c>
      <c r="C449" s="2">
        <v>46110.736111111109</v>
      </c>
      <c r="D449" s="2">
        <v>46110.756944444453</v>
      </c>
      <c r="E449">
        <v>0.5</v>
      </c>
      <c r="F449">
        <v>11.68</v>
      </c>
      <c r="G449" t="b">
        <v>0</v>
      </c>
      <c r="H449" s="2">
        <v>46110</v>
      </c>
      <c r="I449">
        <v>17</v>
      </c>
      <c r="J449" t="s">
        <v>52</v>
      </c>
      <c r="K449">
        <v>1</v>
      </c>
      <c r="L449" t="s">
        <v>42</v>
      </c>
      <c r="M449">
        <v>0.5</v>
      </c>
      <c r="N449" t="s">
        <v>49</v>
      </c>
      <c r="O449">
        <v>50</v>
      </c>
      <c r="P449" t="s">
        <v>50</v>
      </c>
      <c r="Q449">
        <v>1</v>
      </c>
      <c r="R449">
        <v>0</v>
      </c>
      <c r="S449">
        <v>1</v>
      </c>
      <c r="T449">
        <v>31</v>
      </c>
      <c r="U449">
        <v>11.68</v>
      </c>
      <c r="V449" t="s">
        <v>38</v>
      </c>
      <c r="W449">
        <v>0</v>
      </c>
      <c r="X449" t="s">
        <v>59</v>
      </c>
    </row>
    <row r="450" spans="1:24" x14ac:dyDescent="0.3">
      <c r="A450" t="s">
        <v>502</v>
      </c>
      <c r="B450" t="s">
        <v>33</v>
      </c>
      <c r="C450" s="2">
        <v>46111.799305555563</v>
      </c>
      <c r="D450" s="2">
        <v>46111.831944444442</v>
      </c>
      <c r="E450">
        <v>0.78333333333333333</v>
      </c>
      <c r="F450">
        <v>16.489999999999998</v>
      </c>
      <c r="G450" t="b">
        <v>0</v>
      </c>
      <c r="H450" s="2">
        <v>46111</v>
      </c>
      <c r="I450">
        <v>19</v>
      </c>
      <c r="J450" t="s">
        <v>54</v>
      </c>
      <c r="K450">
        <v>0</v>
      </c>
      <c r="L450" t="s">
        <v>42</v>
      </c>
      <c r="M450">
        <v>0.78333333333333333</v>
      </c>
      <c r="N450" t="s">
        <v>36</v>
      </c>
      <c r="O450">
        <v>60</v>
      </c>
      <c r="P450" t="s">
        <v>37</v>
      </c>
      <c r="Q450">
        <v>0</v>
      </c>
      <c r="R450">
        <v>0</v>
      </c>
      <c r="S450">
        <v>1</v>
      </c>
      <c r="T450">
        <v>33.9</v>
      </c>
      <c r="U450">
        <v>16.489999999999998</v>
      </c>
      <c r="V450" t="s">
        <v>38</v>
      </c>
      <c r="W450">
        <v>0</v>
      </c>
      <c r="X450" t="s">
        <v>59</v>
      </c>
    </row>
    <row r="451" spans="1:24" x14ac:dyDescent="0.3">
      <c r="A451" t="s">
        <v>503</v>
      </c>
      <c r="B451" t="s">
        <v>40</v>
      </c>
      <c r="C451" s="2">
        <v>46112.253472222219</v>
      </c>
      <c r="D451" s="2">
        <v>46112.406944444447</v>
      </c>
      <c r="E451">
        <v>3.6833333333333331</v>
      </c>
      <c r="F451">
        <v>55.69</v>
      </c>
      <c r="G451" t="b">
        <v>0</v>
      </c>
      <c r="H451" s="2">
        <v>46112</v>
      </c>
      <c r="I451">
        <v>6</v>
      </c>
      <c r="J451" t="s">
        <v>56</v>
      </c>
      <c r="K451">
        <v>0</v>
      </c>
      <c r="L451" t="s">
        <v>35</v>
      </c>
      <c r="M451">
        <v>3.6833333333333331</v>
      </c>
      <c r="N451" t="s">
        <v>43</v>
      </c>
      <c r="O451">
        <v>100</v>
      </c>
      <c r="P451" t="s">
        <v>44</v>
      </c>
      <c r="Q451">
        <v>0</v>
      </c>
      <c r="R451">
        <v>0</v>
      </c>
      <c r="S451">
        <v>0</v>
      </c>
      <c r="T451">
        <v>32.700000000000003</v>
      </c>
      <c r="U451">
        <v>55.69</v>
      </c>
      <c r="V451" t="s">
        <v>38</v>
      </c>
      <c r="W451">
        <v>0</v>
      </c>
      <c r="X451" t="s">
        <v>31</v>
      </c>
    </row>
    <row r="452" spans="1:24" x14ac:dyDescent="0.3">
      <c r="A452" t="s">
        <v>504</v>
      </c>
      <c r="B452" t="s">
        <v>25</v>
      </c>
      <c r="C452" s="2">
        <v>46113.279166666667</v>
      </c>
      <c r="D452" s="2">
        <v>46113.30972222222</v>
      </c>
      <c r="E452">
        <v>0.73333333333333328</v>
      </c>
      <c r="F452">
        <v>14.89</v>
      </c>
      <c r="G452" t="b">
        <v>0</v>
      </c>
      <c r="H452" s="2">
        <v>46113</v>
      </c>
      <c r="I452">
        <v>6</v>
      </c>
      <c r="J452" t="s">
        <v>26</v>
      </c>
      <c r="K452">
        <v>0</v>
      </c>
      <c r="L452" t="s">
        <v>35</v>
      </c>
      <c r="M452">
        <v>0.73333333333333328</v>
      </c>
      <c r="N452" t="s">
        <v>28</v>
      </c>
      <c r="O452">
        <v>70</v>
      </c>
      <c r="P452" t="s">
        <v>29</v>
      </c>
      <c r="Q452">
        <v>0</v>
      </c>
      <c r="R452">
        <v>0</v>
      </c>
      <c r="S452">
        <v>1</v>
      </c>
      <c r="T452">
        <v>29.6</v>
      </c>
      <c r="U452">
        <v>14.89</v>
      </c>
      <c r="V452" t="s">
        <v>38</v>
      </c>
      <c r="W452">
        <v>0</v>
      </c>
      <c r="X452" t="s">
        <v>59</v>
      </c>
    </row>
    <row r="453" spans="1:24" x14ac:dyDescent="0.3">
      <c r="A453" t="s">
        <v>505</v>
      </c>
      <c r="B453" t="s">
        <v>47</v>
      </c>
      <c r="C453" s="2">
        <v>46114.902777777781</v>
      </c>
      <c r="D453" s="2">
        <v>46115.019444444442</v>
      </c>
      <c r="E453">
        <v>2.8</v>
      </c>
      <c r="F453">
        <v>45.5</v>
      </c>
      <c r="G453" t="b">
        <v>0</v>
      </c>
      <c r="H453" s="2">
        <v>46114</v>
      </c>
      <c r="I453">
        <v>21</v>
      </c>
      <c r="J453" t="s">
        <v>34</v>
      </c>
      <c r="K453">
        <v>0</v>
      </c>
      <c r="L453" t="s">
        <v>66</v>
      </c>
      <c r="M453">
        <v>2.8</v>
      </c>
      <c r="N453" t="s">
        <v>49</v>
      </c>
      <c r="O453">
        <v>50</v>
      </c>
      <c r="P453" t="s">
        <v>50</v>
      </c>
      <c r="Q453">
        <v>0</v>
      </c>
      <c r="R453">
        <v>0</v>
      </c>
      <c r="S453">
        <v>1</v>
      </c>
      <c r="T453">
        <v>30.4</v>
      </c>
      <c r="U453">
        <v>45.5</v>
      </c>
      <c r="V453" t="s">
        <v>38</v>
      </c>
      <c r="W453">
        <v>0</v>
      </c>
      <c r="X453" t="s">
        <v>59</v>
      </c>
    </row>
    <row r="454" spans="1:24" x14ac:dyDescent="0.3">
      <c r="A454" t="s">
        <v>506</v>
      </c>
      <c r="B454" t="s">
        <v>40</v>
      </c>
      <c r="C454" s="2">
        <v>46115.638194444437</v>
      </c>
      <c r="D454" s="2">
        <v>46115.750694444447</v>
      </c>
      <c r="E454">
        <v>2.7</v>
      </c>
      <c r="F454">
        <v>42.67</v>
      </c>
      <c r="G454" t="b">
        <v>0</v>
      </c>
      <c r="H454" s="2">
        <v>46115</v>
      </c>
      <c r="I454">
        <v>15</v>
      </c>
      <c r="J454" t="s">
        <v>41</v>
      </c>
      <c r="K454">
        <v>0</v>
      </c>
      <c r="L454" t="s">
        <v>27</v>
      </c>
      <c r="M454">
        <v>2.7</v>
      </c>
      <c r="N454" t="s">
        <v>43</v>
      </c>
      <c r="O454">
        <v>100</v>
      </c>
      <c r="P454" t="s">
        <v>44</v>
      </c>
      <c r="Q454">
        <v>0</v>
      </c>
      <c r="R454">
        <v>0</v>
      </c>
      <c r="S454">
        <v>0</v>
      </c>
      <c r="T454">
        <v>26.8</v>
      </c>
      <c r="U454">
        <v>42.67</v>
      </c>
      <c r="V454" t="s">
        <v>38</v>
      </c>
      <c r="W454">
        <v>0</v>
      </c>
      <c r="X454" t="s">
        <v>31</v>
      </c>
    </row>
    <row r="455" spans="1:24" x14ac:dyDescent="0.3">
      <c r="A455" t="s">
        <v>507</v>
      </c>
      <c r="B455" t="s">
        <v>33</v>
      </c>
      <c r="C455" s="2">
        <v>46116.616666666669</v>
      </c>
      <c r="D455" s="2">
        <v>46116.715277777781</v>
      </c>
      <c r="E455">
        <v>2.3666666666666671</v>
      </c>
      <c r="F455">
        <v>42.28</v>
      </c>
      <c r="G455" t="b">
        <v>0</v>
      </c>
      <c r="H455" s="2">
        <v>46116</v>
      </c>
      <c r="I455">
        <v>14</v>
      </c>
      <c r="J455" t="s">
        <v>48</v>
      </c>
      <c r="K455">
        <v>1</v>
      </c>
      <c r="L455" t="s">
        <v>27</v>
      </c>
      <c r="M455">
        <v>2.3666666666666671</v>
      </c>
      <c r="N455" t="s">
        <v>36</v>
      </c>
      <c r="O455">
        <v>60</v>
      </c>
      <c r="P455" t="s">
        <v>37</v>
      </c>
      <c r="Q455">
        <v>1</v>
      </c>
      <c r="R455">
        <v>0</v>
      </c>
      <c r="S455">
        <v>1</v>
      </c>
      <c r="T455">
        <v>32.1</v>
      </c>
      <c r="U455">
        <v>42.28</v>
      </c>
      <c r="V455" t="s">
        <v>45</v>
      </c>
      <c r="W455">
        <v>0</v>
      </c>
      <c r="X455" t="s">
        <v>59</v>
      </c>
    </row>
    <row r="456" spans="1:24" x14ac:dyDescent="0.3">
      <c r="A456" t="s">
        <v>508</v>
      </c>
      <c r="B456" t="s">
        <v>47</v>
      </c>
      <c r="C456" s="2">
        <v>46117.424305555563</v>
      </c>
      <c r="D456" s="2">
        <v>46117.570833333331</v>
      </c>
      <c r="E456">
        <v>3.5166666666666671</v>
      </c>
      <c r="F456">
        <v>46.08</v>
      </c>
      <c r="G456" t="b">
        <v>0</v>
      </c>
      <c r="H456" s="2">
        <v>46117</v>
      </c>
      <c r="I456">
        <v>10</v>
      </c>
      <c r="J456" t="s">
        <v>52</v>
      </c>
      <c r="K456">
        <v>1</v>
      </c>
      <c r="L456" t="s">
        <v>35</v>
      </c>
      <c r="M456">
        <v>3.5166666666666671</v>
      </c>
      <c r="N456" t="s">
        <v>49</v>
      </c>
      <c r="O456">
        <v>50</v>
      </c>
      <c r="P456" t="s">
        <v>50</v>
      </c>
      <c r="Q456">
        <v>1</v>
      </c>
      <c r="R456">
        <v>1</v>
      </c>
      <c r="S456">
        <v>0</v>
      </c>
      <c r="T456">
        <v>24.5</v>
      </c>
      <c r="U456">
        <v>46.08</v>
      </c>
      <c r="V456" t="s">
        <v>38</v>
      </c>
      <c r="W456">
        <v>1</v>
      </c>
      <c r="X456" t="s">
        <v>31</v>
      </c>
    </row>
    <row r="457" spans="1:24" x14ac:dyDescent="0.3">
      <c r="A457" t="s">
        <v>509</v>
      </c>
      <c r="B457" t="s">
        <v>47</v>
      </c>
      <c r="C457" s="2">
        <v>46118.677777777782</v>
      </c>
      <c r="D457" s="2">
        <v>46118.744444444441</v>
      </c>
      <c r="E457">
        <v>1.6</v>
      </c>
      <c r="F457">
        <v>23.37</v>
      </c>
      <c r="G457" t="b">
        <v>0</v>
      </c>
      <c r="H457" s="2">
        <v>46118</v>
      </c>
      <c r="I457">
        <v>16</v>
      </c>
      <c r="J457" t="s">
        <v>54</v>
      </c>
      <c r="K457">
        <v>0</v>
      </c>
      <c r="L457" t="s">
        <v>27</v>
      </c>
      <c r="M457">
        <v>1.6</v>
      </c>
      <c r="N457" t="s">
        <v>49</v>
      </c>
      <c r="O457">
        <v>50</v>
      </c>
      <c r="P457" t="s">
        <v>50</v>
      </c>
      <c r="Q457">
        <v>0</v>
      </c>
      <c r="R457">
        <v>0</v>
      </c>
      <c r="S457">
        <v>1</v>
      </c>
      <c r="T457">
        <v>30.1</v>
      </c>
      <c r="U457">
        <v>23.37</v>
      </c>
      <c r="V457" t="s">
        <v>38</v>
      </c>
      <c r="W457">
        <v>0</v>
      </c>
      <c r="X457" t="s">
        <v>59</v>
      </c>
    </row>
    <row r="458" spans="1:24" x14ac:dyDescent="0.3">
      <c r="A458" t="s">
        <v>510</v>
      </c>
      <c r="B458" t="s">
        <v>33</v>
      </c>
      <c r="C458" s="2">
        <v>46119.693749999999</v>
      </c>
      <c r="D458" s="2">
        <v>46119.70416666667</v>
      </c>
      <c r="E458">
        <v>0.25</v>
      </c>
      <c r="F458">
        <v>10</v>
      </c>
      <c r="G458" t="b">
        <v>0</v>
      </c>
      <c r="H458" s="2">
        <v>46119</v>
      </c>
      <c r="I458">
        <v>16</v>
      </c>
      <c r="J458" t="s">
        <v>56</v>
      </c>
      <c r="K458">
        <v>0</v>
      </c>
      <c r="L458" t="s">
        <v>27</v>
      </c>
      <c r="M458">
        <v>0.25</v>
      </c>
      <c r="N458" t="s">
        <v>36</v>
      </c>
      <c r="O458">
        <v>60</v>
      </c>
      <c r="P458" t="s">
        <v>37</v>
      </c>
      <c r="Q458">
        <v>0</v>
      </c>
      <c r="R458">
        <v>0</v>
      </c>
      <c r="S458">
        <v>1</v>
      </c>
      <c r="T458">
        <v>25.3</v>
      </c>
      <c r="U458">
        <v>10</v>
      </c>
      <c r="V458" t="s">
        <v>30</v>
      </c>
      <c r="W458">
        <v>0</v>
      </c>
      <c r="X458" t="s">
        <v>59</v>
      </c>
    </row>
    <row r="459" spans="1:24" x14ac:dyDescent="0.3">
      <c r="A459" t="s">
        <v>511</v>
      </c>
      <c r="B459" t="s">
        <v>61</v>
      </c>
      <c r="C459" s="2">
        <v>46120.352083333331</v>
      </c>
      <c r="D459" s="2">
        <v>46120.430555555547</v>
      </c>
      <c r="E459">
        <v>1.8833333333333331</v>
      </c>
      <c r="F459">
        <v>25.17</v>
      </c>
      <c r="G459" t="b">
        <v>0</v>
      </c>
      <c r="H459" s="2">
        <v>46120</v>
      </c>
      <c r="I459">
        <v>8</v>
      </c>
      <c r="J459" t="s">
        <v>26</v>
      </c>
      <c r="K459">
        <v>0</v>
      </c>
      <c r="L459" t="s">
        <v>35</v>
      </c>
      <c r="M459">
        <v>1.8833333333333331</v>
      </c>
      <c r="N459" t="s">
        <v>62</v>
      </c>
      <c r="O459">
        <v>80</v>
      </c>
      <c r="P459" t="s">
        <v>37</v>
      </c>
      <c r="Q459">
        <v>0</v>
      </c>
      <c r="R459">
        <v>0</v>
      </c>
      <c r="S459">
        <v>0</v>
      </c>
      <c r="T459">
        <v>29.2</v>
      </c>
      <c r="U459">
        <v>25.17</v>
      </c>
      <c r="V459" t="s">
        <v>30</v>
      </c>
      <c r="W459">
        <v>0</v>
      </c>
      <c r="X459" t="s">
        <v>31</v>
      </c>
    </row>
    <row r="460" spans="1:24" x14ac:dyDescent="0.3">
      <c r="A460" t="s">
        <v>512</v>
      </c>
      <c r="B460" t="s">
        <v>25</v>
      </c>
      <c r="C460" s="2">
        <v>46121.323611111111</v>
      </c>
      <c r="D460" s="2">
        <v>46121.377083333333</v>
      </c>
      <c r="E460">
        <v>1.283333333333333</v>
      </c>
      <c r="F460">
        <v>25.04</v>
      </c>
      <c r="G460" t="b">
        <v>0</v>
      </c>
      <c r="H460" s="2">
        <v>46121</v>
      </c>
      <c r="I460">
        <v>7</v>
      </c>
      <c r="J460" t="s">
        <v>34</v>
      </c>
      <c r="K460">
        <v>0</v>
      </c>
      <c r="L460" t="s">
        <v>35</v>
      </c>
      <c r="M460">
        <v>1.283333333333333</v>
      </c>
      <c r="N460" t="s">
        <v>28</v>
      </c>
      <c r="O460">
        <v>70</v>
      </c>
      <c r="P460" t="s">
        <v>29</v>
      </c>
      <c r="Q460">
        <v>0</v>
      </c>
      <c r="R460">
        <v>0</v>
      </c>
      <c r="S460">
        <v>0</v>
      </c>
      <c r="T460">
        <v>34.6</v>
      </c>
      <c r="U460">
        <v>25.04</v>
      </c>
      <c r="V460" t="s">
        <v>38</v>
      </c>
      <c r="W460">
        <v>0</v>
      </c>
      <c r="X460" t="s">
        <v>31</v>
      </c>
    </row>
    <row r="461" spans="1:24" x14ac:dyDescent="0.3">
      <c r="A461" t="s">
        <v>513</v>
      </c>
      <c r="B461" t="s">
        <v>47</v>
      </c>
      <c r="C461" s="2">
        <v>46122.461111111108</v>
      </c>
      <c r="D461" s="2">
        <v>46122.47152777778</v>
      </c>
      <c r="E461">
        <v>0.25</v>
      </c>
      <c r="F461">
        <v>10</v>
      </c>
      <c r="G461" t="b">
        <v>0</v>
      </c>
      <c r="H461" s="2">
        <v>46122</v>
      </c>
      <c r="I461">
        <v>11</v>
      </c>
      <c r="J461" t="s">
        <v>41</v>
      </c>
      <c r="K461">
        <v>0</v>
      </c>
      <c r="L461" t="s">
        <v>35</v>
      </c>
      <c r="M461">
        <v>0.25</v>
      </c>
      <c r="N461" t="s">
        <v>49</v>
      </c>
      <c r="O461">
        <v>50</v>
      </c>
      <c r="P461" t="s">
        <v>50</v>
      </c>
      <c r="Q461">
        <v>0</v>
      </c>
      <c r="R461">
        <v>0</v>
      </c>
      <c r="S461">
        <v>1</v>
      </c>
      <c r="T461">
        <v>29</v>
      </c>
      <c r="U461">
        <v>10</v>
      </c>
      <c r="V461" t="s">
        <v>38</v>
      </c>
      <c r="W461">
        <v>0</v>
      </c>
      <c r="X461" t="s">
        <v>59</v>
      </c>
    </row>
    <row r="462" spans="1:24" x14ac:dyDescent="0.3">
      <c r="A462" t="s">
        <v>514</v>
      </c>
      <c r="B462" t="s">
        <v>47</v>
      </c>
      <c r="C462" s="2">
        <v>46123.421527777777</v>
      </c>
      <c r="D462" s="2">
        <v>46123.439583333333</v>
      </c>
      <c r="E462">
        <v>0.43333333333333329</v>
      </c>
      <c r="F462">
        <v>10</v>
      </c>
      <c r="G462" t="b">
        <v>0</v>
      </c>
      <c r="H462" s="2">
        <v>46123</v>
      </c>
      <c r="I462">
        <v>10</v>
      </c>
      <c r="J462" t="s">
        <v>48</v>
      </c>
      <c r="K462">
        <v>1</v>
      </c>
      <c r="L462" t="s">
        <v>35</v>
      </c>
      <c r="M462">
        <v>0.43333333333333329</v>
      </c>
      <c r="N462" t="s">
        <v>49</v>
      </c>
      <c r="O462">
        <v>50</v>
      </c>
      <c r="P462" t="s">
        <v>50</v>
      </c>
      <c r="Q462">
        <v>1</v>
      </c>
      <c r="R462">
        <v>0</v>
      </c>
      <c r="S462">
        <v>0</v>
      </c>
      <c r="T462">
        <v>37.4</v>
      </c>
      <c r="U462">
        <v>10</v>
      </c>
      <c r="V462" t="s">
        <v>30</v>
      </c>
      <c r="W462">
        <v>0</v>
      </c>
      <c r="X462" t="s">
        <v>31</v>
      </c>
    </row>
    <row r="463" spans="1:24" x14ac:dyDescent="0.3">
      <c r="A463" t="s">
        <v>515</v>
      </c>
      <c r="B463" t="s">
        <v>61</v>
      </c>
      <c r="C463" s="2">
        <v>46124.356249999997</v>
      </c>
      <c r="D463" s="2">
        <v>46124.550694444442</v>
      </c>
      <c r="E463">
        <v>4.666666666666667</v>
      </c>
      <c r="F463">
        <v>67.069999999999993</v>
      </c>
      <c r="G463" t="b">
        <v>0</v>
      </c>
      <c r="H463" s="2">
        <v>46124</v>
      </c>
      <c r="I463">
        <v>8</v>
      </c>
      <c r="J463" t="s">
        <v>52</v>
      </c>
      <c r="K463">
        <v>1</v>
      </c>
      <c r="L463" t="s">
        <v>35</v>
      </c>
      <c r="M463">
        <v>4.666666666666667</v>
      </c>
      <c r="N463" t="s">
        <v>62</v>
      </c>
      <c r="O463">
        <v>80</v>
      </c>
      <c r="P463" t="s">
        <v>37</v>
      </c>
      <c r="Q463">
        <v>1</v>
      </c>
      <c r="R463">
        <v>1</v>
      </c>
      <c r="S463">
        <v>1</v>
      </c>
      <c r="T463">
        <v>35.5</v>
      </c>
      <c r="U463">
        <v>67.069999999999993</v>
      </c>
      <c r="V463" t="s">
        <v>38</v>
      </c>
      <c r="W463">
        <v>1</v>
      </c>
      <c r="X463" t="s">
        <v>59</v>
      </c>
    </row>
    <row r="464" spans="1:24" x14ac:dyDescent="0.3">
      <c r="A464" t="s">
        <v>516</v>
      </c>
      <c r="B464" t="s">
        <v>47</v>
      </c>
      <c r="C464" s="2">
        <v>46125.646527777782</v>
      </c>
      <c r="D464" s="2">
        <v>46125.673611111109</v>
      </c>
      <c r="E464">
        <v>0.65</v>
      </c>
      <c r="F464">
        <v>14.07</v>
      </c>
      <c r="G464" t="b">
        <v>0</v>
      </c>
      <c r="H464" s="2">
        <v>46125</v>
      </c>
      <c r="I464">
        <v>15</v>
      </c>
      <c r="J464" t="s">
        <v>54</v>
      </c>
      <c r="K464">
        <v>0</v>
      </c>
      <c r="L464" t="s">
        <v>27</v>
      </c>
      <c r="M464">
        <v>0.65</v>
      </c>
      <c r="N464" t="s">
        <v>49</v>
      </c>
      <c r="O464">
        <v>50</v>
      </c>
      <c r="P464" t="s">
        <v>50</v>
      </c>
      <c r="Q464">
        <v>0</v>
      </c>
      <c r="R464">
        <v>0</v>
      </c>
      <c r="S464">
        <v>0</v>
      </c>
      <c r="T464">
        <v>31.4</v>
      </c>
      <c r="U464">
        <v>14.07</v>
      </c>
      <c r="V464" t="s">
        <v>38</v>
      </c>
      <c r="W464">
        <v>0</v>
      </c>
      <c r="X464" t="s">
        <v>31</v>
      </c>
    </row>
    <row r="465" spans="1:24" x14ac:dyDescent="0.3">
      <c r="A465" t="s">
        <v>517</v>
      </c>
      <c r="B465" t="s">
        <v>25</v>
      </c>
      <c r="C465" s="2">
        <v>46127.586805555547</v>
      </c>
      <c r="D465" s="2">
        <v>46127.714583333327</v>
      </c>
      <c r="E465">
        <v>3.0666666666666669</v>
      </c>
      <c r="F465">
        <v>53.03</v>
      </c>
      <c r="G465" t="b">
        <v>0</v>
      </c>
      <c r="H465" s="2">
        <v>46127</v>
      </c>
      <c r="I465">
        <v>14</v>
      </c>
      <c r="J465" t="s">
        <v>26</v>
      </c>
      <c r="K465">
        <v>0</v>
      </c>
      <c r="L465" t="s">
        <v>27</v>
      </c>
      <c r="M465">
        <v>3.0666666666666669</v>
      </c>
      <c r="N465" t="s">
        <v>28</v>
      </c>
      <c r="O465">
        <v>70</v>
      </c>
      <c r="P465" t="s">
        <v>29</v>
      </c>
      <c r="Q465">
        <v>0</v>
      </c>
      <c r="R465">
        <v>0</v>
      </c>
      <c r="S465">
        <v>1</v>
      </c>
      <c r="T465">
        <v>27.3</v>
      </c>
      <c r="U465">
        <v>53.03</v>
      </c>
      <c r="V465" t="s">
        <v>30</v>
      </c>
      <c r="W465">
        <v>0</v>
      </c>
      <c r="X465" t="s">
        <v>59</v>
      </c>
    </row>
    <row r="466" spans="1:24" x14ac:dyDescent="0.3">
      <c r="A466" t="s">
        <v>518</v>
      </c>
      <c r="B466" t="s">
        <v>61</v>
      </c>
      <c r="C466" s="2">
        <v>46128.818749999999</v>
      </c>
      <c r="D466" s="2">
        <v>46128.935416666667</v>
      </c>
      <c r="E466">
        <v>2.8</v>
      </c>
      <c r="F466">
        <v>39.53</v>
      </c>
      <c r="G466" t="b">
        <v>0</v>
      </c>
      <c r="H466" s="2">
        <v>46128</v>
      </c>
      <c r="I466">
        <v>19</v>
      </c>
      <c r="J466" t="s">
        <v>34</v>
      </c>
      <c r="K466">
        <v>0</v>
      </c>
      <c r="L466" t="s">
        <v>42</v>
      </c>
      <c r="M466">
        <v>2.8</v>
      </c>
      <c r="N466" t="s">
        <v>62</v>
      </c>
      <c r="O466">
        <v>80</v>
      </c>
      <c r="P466" t="s">
        <v>37</v>
      </c>
      <c r="Q466">
        <v>0</v>
      </c>
      <c r="R466">
        <v>0</v>
      </c>
      <c r="S466">
        <v>0</v>
      </c>
      <c r="T466">
        <v>31.5</v>
      </c>
      <c r="U466">
        <v>39.53</v>
      </c>
      <c r="V466" t="s">
        <v>45</v>
      </c>
      <c r="W466">
        <v>0</v>
      </c>
      <c r="X466" t="s">
        <v>31</v>
      </c>
    </row>
    <row r="467" spans="1:24" x14ac:dyDescent="0.3">
      <c r="A467" t="s">
        <v>519</v>
      </c>
      <c r="B467" t="s">
        <v>47</v>
      </c>
      <c r="C467" s="2">
        <v>46129.756249999999</v>
      </c>
      <c r="D467" s="2">
        <v>46129.802777777782</v>
      </c>
      <c r="E467">
        <v>1.1166666666666669</v>
      </c>
      <c r="F467">
        <v>29.19</v>
      </c>
      <c r="G467" t="b">
        <v>0</v>
      </c>
      <c r="H467" s="2">
        <v>46129</v>
      </c>
      <c r="I467">
        <v>18</v>
      </c>
      <c r="J467" t="s">
        <v>41</v>
      </c>
      <c r="K467">
        <v>0</v>
      </c>
      <c r="L467" t="s">
        <v>42</v>
      </c>
      <c r="M467">
        <v>1.1166666666666669</v>
      </c>
      <c r="N467" t="s">
        <v>49</v>
      </c>
      <c r="O467">
        <v>50</v>
      </c>
      <c r="P467" t="s">
        <v>50</v>
      </c>
      <c r="Q467">
        <v>0</v>
      </c>
      <c r="R467">
        <v>0</v>
      </c>
      <c r="S467">
        <v>1</v>
      </c>
      <c r="T467">
        <v>25.4</v>
      </c>
      <c r="U467">
        <v>29.19</v>
      </c>
      <c r="V467" t="s">
        <v>38</v>
      </c>
      <c r="W467">
        <v>0</v>
      </c>
      <c r="X467" t="s">
        <v>59</v>
      </c>
    </row>
    <row r="468" spans="1:24" x14ac:dyDescent="0.3">
      <c r="A468" t="s">
        <v>520</v>
      </c>
      <c r="B468" t="s">
        <v>47</v>
      </c>
      <c r="C468" s="2">
        <v>46130.600694444453</v>
      </c>
      <c r="D468" s="2">
        <v>46130.659722222219</v>
      </c>
      <c r="E468">
        <v>1.416666666666667</v>
      </c>
      <c r="F468">
        <v>30.93</v>
      </c>
      <c r="G468" t="b">
        <v>0</v>
      </c>
      <c r="H468" s="2">
        <v>46130</v>
      </c>
      <c r="I468">
        <v>14</v>
      </c>
      <c r="J468" t="s">
        <v>48</v>
      </c>
      <c r="K468">
        <v>1</v>
      </c>
      <c r="L468" t="s">
        <v>27</v>
      </c>
      <c r="M468">
        <v>1.416666666666667</v>
      </c>
      <c r="N468" t="s">
        <v>49</v>
      </c>
      <c r="O468">
        <v>50</v>
      </c>
      <c r="P468" t="s">
        <v>50</v>
      </c>
      <c r="Q468">
        <v>1</v>
      </c>
      <c r="R468">
        <v>0</v>
      </c>
      <c r="S468">
        <v>0</v>
      </c>
      <c r="T468">
        <v>26.6</v>
      </c>
      <c r="U468">
        <v>30.93</v>
      </c>
      <c r="V468" t="s">
        <v>38</v>
      </c>
      <c r="W468">
        <v>0</v>
      </c>
      <c r="X468" t="s">
        <v>31</v>
      </c>
    </row>
    <row r="469" spans="1:24" x14ac:dyDescent="0.3">
      <c r="A469" t="s">
        <v>521</v>
      </c>
      <c r="B469" t="s">
        <v>25</v>
      </c>
      <c r="C469" s="2">
        <v>46132.675000000003</v>
      </c>
      <c r="D469" s="2">
        <v>46132.793055555558</v>
      </c>
      <c r="E469">
        <v>2.833333333333333</v>
      </c>
      <c r="F469">
        <v>45.32</v>
      </c>
      <c r="G469" t="b">
        <v>0</v>
      </c>
      <c r="H469" s="2">
        <v>46132</v>
      </c>
      <c r="I469">
        <v>16</v>
      </c>
      <c r="J469" t="s">
        <v>54</v>
      </c>
      <c r="K469">
        <v>0</v>
      </c>
      <c r="L469" t="s">
        <v>27</v>
      </c>
      <c r="M469">
        <v>2.833333333333333</v>
      </c>
      <c r="N469" t="s">
        <v>28</v>
      </c>
      <c r="O469">
        <v>70</v>
      </c>
      <c r="P469" t="s">
        <v>29</v>
      </c>
      <c r="Q469">
        <v>0</v>
      </c>
      <c r="R469">
        <v>0</v>
      </c>
      <c r="S469">
        <v>0</v>
      </c>
      <c r="T469">
        <v>29.2</v>
      </c>
      <c r="U469">
        <v>45.32</v>
      </c>
      <c r="V469" t="s">
        <v>45</v>
      </c>
      <c r="W469">
        <v>0</v>
      </c>
      <c r="X469" t="s">
        <v>31</v>
      </c>
    </row>
    <row r="470" spans="1:24" x14ac:dyDescent="0.3">
      <c r="A470" t="s">
        <v>522</v>
      </c>
      <c r="B470" t="s">
        <v>25</v>
      </c>
      <c r="C470" s="2">
        <v>46133.324999999997</v>
      </c>
      <c r="D470" s="2">
        <v>46133.425000000003</v>
      </c>
      <c r="E470">
        <v>2.4</v>
      </c>
      <c r="F470">
        <v>39.799999999999997</v>
      </c>
      <c r="G470" t="b">
        <v>0</v>
      </c>
      <c r="H470" s="2">
        <v>46133</v>
      </c>
      <c r="I470">
        <v>7</v>
      </c>
      <c r="J470" t="s">
        <v>56</v>
      </c>
      <c r="K470">
        <v>0</v>
      </c>
      <c r="L470" t="s">
        <v>35</v>
      </c>
      <c r="M470">
        <v>2.4</v>
      </c>
      <c r="N470" t="s">
        <v>28</v>
      </c>
      <c r="O470">
        <v>70</v>
      </c>
      <c r="P470" t="s">
        <v>29</v>
      </c>
      <c r="Q470">
        <v>0</v>
      </c>
      <c r="R470">
        <v>0</v>
      </c>
      <c r="S470">
        <v>0</v>
      </c>
      <c r="T470">
        <v>30.2</v>
      </c>
      <c r="U470">
        <v>39.799999999999997</v>
      </c>
      <c r="V470" t="s">
        <v>38</v>
      </c>
      <c r="W470">
        <v>0</v>
      </c>
      <c r="X470" t="s">
        <v>31</v>
      </c>
    </row>
    <row r="471" spans="1:24" x14ac:dyDescent="0.3">
      <c r="A471" t="s">
        <v>523</v>
      </c>
      <c r="B471" t="s">
        <v>25</v>
      </c>
      <c r="C471" s="2">
        <v>46134.779166666667</v>
      </c>
      <c r="D471" s="2">
        <v>46134.895833333343</v>
      </c>
      <c r="E471">
        <v>2.8</v>
      </c>
      <c r="F471">
        <v>42.69</v>
      </c>
      <c r="G471" t="b">
        <v>0</v>
      </c>
      <c r="H471" s="2">
        <v>46134</v>
      </c>
      <c r="I471">
        <v>18</v>
      </c>
      <c r="J471" t="s">
        <v>26</v>
      </c>
      <c r="K471">
        <v>0</v>
      </c>
      <c r="L471" t="s">
        <v>42</v>
      </c>
      <c r="M471">
        <v>2.8</v>
      </c>
      <c r="N471" t="s">
        <v>28</v>
      </c>
      <c r="O471">
        <v>70</v>
      </c>
      <c r="P471" t="s">
        <v>29</v>
      </c>
      <c r="Q471">
        <v>0</v>
      </c>
      <c r="R471">
        <v>0</v>
      </c>
      <c r="S471">
        <v>0</v>
      </c>
      <c r="T471">
        <v>31.5</v>
      </c>
      <c r="U471">
        <v>42.69</v>
      </c>
      <c r="V471" t="s">
        <v>38</v>
      </c>
      <c r="W471">
        <v>0</v>
      </c>
      <c r="X471" t="s">
        <v>31</v>
      </c>
    </row>
    <row r="472" spans="1:24" x14ac:dyDescent="0.3">
      <c r="A472" t="s">
        <v>524</v>
      </c>
      <c r="B472" t="s">
        <v>40</v>
      </c>
      <c r="C472" s="2">
        <v>46135.761805555558</v>
      </c>
      <c r="D472" s="2">
        <v>46135.871527777781</v>
      </c>
      <c r="E472">
        <v>2.6333333333333329</v>
      </c>
      <c r="F472">
        <v>30.45</v>
      </c>
      <c r="G472" t="b">
        <v>0</v>
      </c>
      <c r="H472" s="2">
        <v>46135</v>
      </c>
      <c r="I472">
        <v>18</v>
      </c>
      <c r="J472" t="s">
        <v>34</v>
      </c>
      <c r="K472">
        <v>0</v>
      </c>
      <c r="L472" t="s">
        <v>42</v>
      </c>
      <c r="M472">
        <v>2.6333333333333329</v>
      </c>
      <c r="N472" t="s">
        <v>43</v>
      </c>
      <c r="O472">
        <v>100</v>
      </c>
      <c r="P472" t="s">
        <v>44</v>
      </c>
      <c r="Q472">
        <v>0</v>
      </c>
      <c r="R472">
        <v>0</v>
      </c>
      <c r="S472">
        <v>1</v>
      </c>
      <c r="T472">
        <v>28</v>
      </c>
      <c r="U472">
        <v>30.45</v>
      </c>
      <c r="V472" t="s">
        <v>45</v>
      </c>
      <c r="W472">
        <v>0</v>
      </c>
      <c r="X472" t="s">
        <v>59</v>
      </c>
    </row>
    <row r="473" spans="1:24" x14ac:dyDescent="0.3">
      <c r="A473" t="s">
        <v>525</v>
      </c>
      <c r="B473" t="s">
        <v>40</v>
      </c>
      <c r="C473" s="2">
        <v>46137.900694444441</v>
      </c>
      <c r="F473">
        <v>52.72</v>
      </c>
      <c r="G473" t="b">
        <v>1</v>
      </c>
      <c r="H473" s="2">
        <v>46137</v>
      </c>
      <c r="I473">
        <v>21</v>
      </c>
      <c r="J473" t="s">
        <v>48</v>
      </c>
      <c r="K473">
        <v>1</v>
      </c>
      <c r="L473" t="s">
        <v>66</v>
      </c>
      <c r="N473" t="s">
        <v>43</v>
      </c>
      <c r="O473">
        <v>100</v>
      </c>
      <c r="P473" t="s">
        <v>44</v>
      </c>
      <c r="Q473">
        <v>1</v>
      </c>
      <c r="R473">
        <v>0</v>
      </c>
      <c r="S473">
        <v>0</v>
      </c>
      <c r="T473">
        <v>31.4</v>
      </c>
      <c r="U473">
        <v>52.72</v>
      </c>
      <c r="V473" t="s">
        <v>30</v>
      </c>
      <c r="W473">
        <v>0</v>
      </c>
      <c r="X473" t="s">
        <v>31</v>
      </c>
    </row>
    <row r="474" spans="1:24" x14ac:dyDescent="0.3">
      <c r="A474" t="s">
        <v>526</v>
      </c>
      <c r="B474" t="s">
        <v>61</v>
      </c>
      <c r="C474" s="2">
        <v>46138.461111111108</v>
      </c>
      <c r="D474" s="2">
        <v>46138.495833333327</v>
      </c>
      <c r="E474">
        <v>0.83333333333333337</v>
      </c>
      <c r="F474">
        <v>10</v>
      </c>
      <c r="G474" t="b">
        <v>0</v>
      </c>
      <c r="H474" s="2">
        <v>46138</v>
      </c>
      <c r="I474">
        <v>11</v>
      </c>
      <c r="J474" t="s">
        <v>52</v>
      </c>
      <c r="K474">
        <v>1</v>
      </c>
      <c r="L474" t="s">
        <v>35</v>
      </c>
      <c r="M474">
        <v>0.83333333333333337</v>
      </c>
      <c r="N474" t="s">
        <v>62</v>
      </c>
      <c r="O474">
        <v>80</v>
      </c>
      <c r="P474" t="s">
        <v>37</v>
      </c>
      <c r="Q474">
        <v>1</v>
      </c>
      <c r="R474">
        <v>1</v>
      </c>
      <c r="S474">
        <v>0</v>
      </c>
      <c r="T474">
        <v>20.9</v>
      </c>
      <c r="U474">
        <v>10</v>
      </c>
      <c r="V474" t="s">
        <v>38</v>
      </c>
      <c r="W474">
        <v>1</v>
      </c>
      <c r="X474" t="s">
        <v>31</v>
      </c>
    </row>
    <row r="475" spans="1:24" x14ac:dyDescent="0.3">
      <c r="A475" t="s">
        <v>527</v>
      </c>
      <c r="B475" t="s">
        <v>25</v>
      </c>
      <c r="C475" s="2">
        <v>46139.847916666673</v>
      </c>
      <c r="D475" s="2">
        <v>46139.984027777777</v>
      </c>
      <c r="E475">
        <v>3.2666666666666671</v>
      </c>
      <c r="F475">
        <v>47.72</v>
      </c>
      <c r="G475" t="b">
        <v>0</v>
      </c>
      <c r="H475" s="2">
        <v>46139</v>
      </c>
      <c r="I475">
        <v>20</v>
      </c>
      <c r="J475" t="s">
        <v>54</v>
      </c>
      <c r="K475">
        <v>0</v>
      </c>
      <c r="L475" t="s">
        <v>42</v>
      </c>
      <c r="M475">
        <v>3.2666666666666671</v>
      </c>
      <c r="N475" t="s">
        <v>28</v>
      </c>
      <c r="O475">
        <v>70</v>
      </c>
      <c r="P475" t="s">
        <v>29</v>
      </c>
      <c r="Q475">
        <v>0</v>
      </c>
      <c r="R475">
        <v>0</v>
      </c>
      <c r="S475">
        <v>0</v>
      </c>
      <c r="T475">
        <v>30.5</v>
      </c>
      <c r="U475">
        <v>47.72</v>
      </c>
      <c r="V475" t="s">
        <v>45</v>
      </c>
      <c r="W475">
        <v>0</v>
      </c>
      <c r="X475" t="s">
        <v>31</v>
      </c>
    </row>
    <row r="476" spans="1:24" x14ac:dyDescent="0.3">
      <c r="A476" t="s">
        <v>528</v>
      </c>
      <c r="B476" t="s">
        <v>47</v>
      </c>
      <c r="C476" s="2">
        <v>46140.493750000001</v>
      </c>
      <c r="D476" s="2">
        <v>46140.556250000001</v>
      </c>
      <c r="E476">
        <v>1.5</v>
      </c>
      <c r="F476">
        <v>26.16</v>
      </c>
      <c r="G476" t="b">
        <v>0</v>
      </c>
      <c r="H476" s="2">
        <v>46140</v>
      </c>
      <c r="I476">
        <v>11</v>
      </c>
      <c r="J476" t="s">
        <v>56</v>
      </c>
      <c r="K476">
        <v>0</v>
      </c>
      <c r="L476" t="s">
        <v>35</v>
      </c>
      <c r="M476">
        <v>1.5</v>
      </c>
      <c r="N476" t="s">
        <v>49</v>
      </c>
      <c r="O476">
        <v>50</v>
      </c>
      <c r="P476" t="s">
        <v>50</v>
      </c>
      <c r="Q476">
        <v>0</v>
      </c>
      <c r="R476">
        <v>0</v>
      </c>
      <c r="S476">
        <v>0</v>
      </c>
      <c r="T476">
        <v>25.9</v>
      </c>
      <c r="U476">
        <v>26.16</v>
      </c>
      <c r="V476" t="s">
        <v>38</v>
      </c>
      <c r="W476">
        <v>0</v>
      </c>
      <c r="X476" t="s">
        <v>31</v>
      </c>
    </row>
    <row r="477" spans="1:24" x14ac:dyDescent="0.3">
      <c r="A477" t="s">
        <v>529</v>
      </c>
      <c r="B477" t="s">
        <v>40</v>
      </c>
      <c r="C477" s="2">
        <v>46141.395138888889</v>
      </c>
      <c r="D477" s="2">
        <v>46141.405555555553</v>
      </c>
      <c r="E477">
        <v>0.25</v>
      </c>
      <c r="F477">
        <v>10</v>
      </c>
      <c r="G477" t="b">
        <v>0</v>
      </c>
      <c r="H477" s="2">
        <v>46141</v>
      </c>
      <c r="I477">
        <v>9</v>
      </c>
      <c r="J477" t="s">
        <v>26</v>
      </c>
      <c r="K477">
        <v>0</v>
      </c>
      <c r="L477" t="s">
        <v>35</v>
      </c>
      <c r="M477">
        <v>0.25</v>
      </c>
      <c r="N477" t="s">
        <v>43</v>
      </c>
      <c r="O477">
        <v>100</v>
      </c>
      <c r="P477" t="s">
        <v>44</v>
      </c>
      <c r="Q477">
        <v>0</v>
      </c>
      <c r="R477">
        <v>0</v>
      </c>
      <c r="S477">
        <v>0</v>
      </c>
      <c r="T477">
        <v>25.9</v>
      </c>
      <c r="U477">
        <v>10</v>
      </c>
      <c r="V477" t="s">
        <v>45</v>
      </c>
      <c r="W477">
        <v>0</v>
      </c>
      <c r="X477" t="s">
        <v>31</v>
      </c>
    </row>
    <row r="478" spans="1:24" x14ac:dyDescent="0.3">
      <c r="A478" t="s">
        <v>530</v>
      </c>
      <c r="B478" t="s">
        <v>25</v>
      </c>
      <c r="C478" s="2">
        <v>46142.882638888892</v>
      </c>
      <c r="D478" s="2">
        <v>46142.968055555553</v>
      </c>
      <c r="E478">
        <v>2.0499999999999998</v>
      </c>
      <c r="F478">
        <v>37.75</v>
      </c>
      <c r="G478" t="b">
        <v>0</v>
      </c>
      <c r="H478" s="2">
        <v>46142</v>
      </c>
      <c r="I478">
        <v>21</v>
      </c>
      <c r="J478" t="s">
        <v>34</v>
      </c>
      <c r="K478">
        <v>0</v>
      </c>
      <c r="L478" t="s">
        <v>66</v>
      </c>
      <c r="M478">
        <v>2.0499999999999998</v>
      </c>
      <c r="N478" t="s">
        <v>28</v>
      </c>
      <c r="O478">
        <v>70</v>
      </c>
      <c r="P478" t="s">
        <v>29</v>
      </c>
      <c r="Q478">
        <v>0</v>
      </c>
      <c r="R478">
        <v>0</v>
      </c>
      <c r="S478">
        <v>1</v>
      </c>
      <c r="T478">
        <v>31.8</v>
      </c>
      <c r="U478">
        <v>37.75</v>
      </c>
      <c r="V478" t="s">
        <v>30</v>
      </c>
      <c r="W478">
        <v>0</v>
      </c>
      <c r="X478" t="s">
        <v>59</v>
      </c>
    </row>
    <row r="479" spans="1:24" x14ac:dyDescent="0.3">
      <c r="A479" t="s">
        <v>531</v>
      </c>
      <c r="B479" t="s">
        <v>40</v>
      </c>
      <c r="C479" s="2">
        <v>46143.759027777778</v>
      </c>
      <c r="D479" s="2">
        <v>46143.886111111111</v>
      </c>
      <c r="E479">
        <v>3.05</v>
      </c>
      <c r="F479">
        <v>50.97</v>
      </c>
      <c r="G479" t="b">
        <v>0</v>
      </c>
      <c r="H479" s="2">
        <v>46143</v>
      </c>
      <c r="I479">
        <v>18</v>
      </c>
      <c r="J479" t="s">
        <v>41</v>
      </c>
      <c r="K479">
        <v>0</v>
      </c>
      <c r="L479" t="s">
        <v>42</v>
      </c>
      <c r="M479">
        <v>3.05</v>
      </c>
      <c r="N479" t="s">
        <v>43</v>
      </c>
      <c r="O479">
        <v>100</v>
      </c>
      <c r="P479" t="s">
        <v>44</v>
      </c>
      <c r="Q479">
        <v>0</v>
      </c>
      <c r="R479">
        <v>0</v>
      </c>
      <c r="S479">
        <v>1</v>
      </c>
      <c r="T479">
        <v>24.5</v>
      </c>
      <c r="U479">
        <v>50.97</v>
      </c>
      <c r="V479" t="s">
        <v>30</v>
      </c>
      <c r="W479">
        <v>0</v>
      </c>
      <c r="X479" t="s">
        <v>59</v>
      </c>
    </row>
    <row r="480" spans="1:24" x14ac:dyDescent="0.3">
      <c r="A480" t="s">
        <v>532</v>
      </c>
      <c r="B480" t="s">
        <v>33</v>
      </c>
      <c r="C480" s="2">
        <v>46144.634027777778</v>
      </c>
      <c r="D480" s="2">
        <v>46144.654166666667</v>
      </c>
      <c r="E480">
        <v>0.48333333333333328</v>
      </c>
      <c r="F480">
        <v>10</v>
      </c>
      <c r="G480" t="b">
        <v>0</v>
      </c>
      <c r="H480" s="2">
        <v>46144</v>
      </c>
      <c r="I480">
        <v>15</v>
      </c>
      <c r="J480" t="s">
        <v>48</v>
      </c>
      <c r="K480">
        <v>1</v>
      </c>
      <c r="L480" t="s">
        <v>27</v>
      </c>
      <c r="M480">
        <v>0.48333333333333328</v>
      </c>
      <c r="N480" t="s">
        <v>36</v>
      </c>
      <c r="O480">
        <v>60</v>
      </c>
      <c r="P480" t="s">
        <v>37</v>
      </c>
      <c r="Q480">
        <v>1</v>
      </c>
      <c r="R480">
        <v>0</v>
      </c>
      <c r="S480">
        <v>0</v>
      </c>
      <c r="T480">
        <v>25.4</v>
      </c>
      <c r="U480">
        <v>10</v>
      </c>
      <c r="V480" t="s">
        <v>45</v>
      </c>
      <c r="W480">
        <v>0</v>
      </c>
      <c r="X480" t="s">
        <v>31</v>
      </c>
    </row>
    <row r="481" spans="1:24" x14ac:dyDescent="0.3">
      <c r="A481" t="s">
        <v>533</v>
      </c>
      <c r="B481" t="s">
        <v>61</v>
      </c>
      <c r="C481" s="2">
        <v>46145.682638888888</v>
      </c>
      <c r="D481" s="2">
        <v>46145.732638888891</v>
      </c>
      <c r="E481">
        <v>1.2</v>
      </c>
      <c r="F481">
        <v>23.06</v>
      </c>
      <c r="G481" t="b">
        <v>0</v>
      </c>
      <c r="H481" s="2">
        <v>46145</v>
      </c>
      <c r="I481">
        <v>16</v>
      </c>
      <c r="J481" t="s">
        <v>52</v>
      </c>
      <c r="K481">
        <v>1</v>
      </c>
      <c r="L481" t="s">
        <v>27</v>
      </c>
      <c r="M481">
        <v>1.2</v>
      </c>
      <c r="N481" t="s">
        <v>62</v>
      </c>
      <c r="O481">
        <v>80</v>
      </c>
      <c r="P481" t="s">
        <v>37</v>
      </c>
      <c r="Q481">
        <v>1</v>
      </c>
      <c r="R481">
        <v>0</v>
      </c>
      <c r="S481">
        <v>0</v>
      </c>
      <c r="T481">
        <v>25.7</v>
      </c>
      <c r="U481">
        <v>23.06</v>
      </c>
      <c r="V481" t="s">
        <v>38</v>
      </c>
      <c r="W481">
        <v>0</v>
      </c>
      <c r="X481" t="s">
        <v>31</v>
      </c>
    </row>
    <row r="482" spans="1:24" x14ac:dyDescent="0.3">
      <c r="A482" t="s">
        <v>534</v>
      </c>
      <c r="B482" t="s">
        <v>47</v>
      </c>
      <c r="C482" s="2">
        <v>46146.79791666667</v>
      </c>
      <c r="D482" s="2">
        <v>46146.881944444453</v>
      </c>
      <c r="E482">
        <v>2.0166666666666671</v>
      </c>
      <c r="F482">
        <v>42.06</v>
      </c>
      <c r="G482" t="b">
        <v>0</v>
      </c>
      <c r="H482" s="2">
        <v>46146</v>
      </c>
      <c r="I482">
        <v>19</v>
      </c>
      <c r="J482" t="s">
        <v>54</v>
      </c>
      <c r="K482">
        <v>0</v>
      </c>
      <c r="L482" t="s">
        <v>42</v>
      </c>
      <c r="M482">
        <v>2.0166666666666671</v>
      </c>
      <c r="N482" t="s">
        <v>49</v>
      </c>
      <c r="O482">
        <v>50</v>
      </c>
      <c r="P482" t="s">
        <v>50</v>
      </c>
      <c r="Q482">
        <v>0</v>
      </c>
      <c r="R482">
        <v>0</v>
      </c>
      <c r="S482">
        <v>0</v>
      </c>
      <c r="T482">
        <v>30.5</v>
      </c>
      <c r="U482">
        <v>42.06</v>
      </c>
      <c r="V482" t="s">
        <v>30</v>
      </c>
      <c r="W482">
        <v>0</v>
      </c>
      <c r="X482" t="s">
        <v>31</v>
      </c>
    </row>
    <row r="483" spans="1:24" x14ac:dyDescent="0.3">
      <c r="A483" t="s">
        <v>535</v>
      </c>
      <c r="B483" t="s">
        <v>33</v>
      </c>
      <c r="C483" s="2">
        <v>46147.821527777778</v>
      </c>
      <c r="D483" s="2">
        <v>46147.847916666673</v>
      </c>
      <c r="E483">
        <v>0.6333333333333333</v>
      </c>
      <c r="F483">
        <v>10</v>
      </c>
      <c r="G483" t="b">
        <v>0</v>
      </c>
      <c r="H483" s="2">
        <v>46147</v>
      </c>
      <c r="I483">
        <v>19</v>
      </c>
      <c r="J483" t="s">
        <v>56</v>
      </c>
      <c r="K483">
        <v>0</v>
      </c>
      <c r="L483" t="s">
        <v>42</v>
      </c>
      <c r="M483">
        <v>0.6333333333333333</v>
      </c>
      <c r="N483" t="s">
        <v>36</v>
      </c>
      <c r="O483">
        <v>60</v>
      </c>
      <c r="P483" t="s">
        <v>37</v>
      </c>
      <c r="Q483">
        <v>0</v>
      </c>
      <c r="R483">
        <v>0</v>
      </c>
      <c r="S483">
        <v>0</v>
      </c>
      <c r="T483">
        <v>29.9</v>
      </c>
      <c r="U483">
        <v>10</v>
      </c>
      <c r="V483" t="s">
        <v>45</v>
      </c>
      <c r="W483">
        <v>0</v>
      </c>
      <c r="X483" t="s">
        <v>31</v>
      </c>
    </row>
    <row r="484" spans="1:24" x14ac:dyDescent="0.3">
      <c r="A484" t="s">
        <v>536</v>
      </c>
      <c r="B484" t="s">
        <v>61</v>
      </c>
      <c r="C484" s="2">
        <v>46148.368055555547</v>
      </c>
      <c r="D484" s="2">
        <v>46148.447916666657</v>
      </c>
      <c r="E484">
        <v>1.916666666666667</v>
      </c>
      <c r="F484">
        <v>21.38</v>
      </c>
      <c r="G484" t="b">
        <v>0</v>
      </c>
      <c r="H484" s="2">
        <v>46148</v>
      </c>
      <c r="I484">
        <v>8</v>
      </c>
      <c r="J484" t="s">
        <v>26</v>
      </c>
      <c r="K484">
        <v>0</v>
      </c>
      <c r="L484" t="s">
        <v>35</v>
      </c>
      <c r="M484">
        <v>1.916666666666667</v>
      </c>
      <c r="N484" t="s">
        <v>62</v>
      </c>
      <c r="O484">
        <v>80</v>
      </c>
      <c r="P484" t="s">
        <v>37</v>
      </c>
      <c r="Q484">
        <v>0</v>
      </c>
      <c r="R484">
        <v>0</v>
      </c>
      <c r="S484">
        <v>1</v>
      </c>
      <c r="T484">
        <v>28.2</v>
      </c>
      <c r="U484">
        <v>21.38</v>
      </c>
      <c r="V484" t="s">
        <v>45</v>
      </c>
      <c r="W484">
        <v>0</v>
      </c>
      <c r="X484" t="s">
        <v>59</v>
      </c>
    </row>
    <row r="485" spans="1:24" x14ac:dyDescent="0.3">
      <c r="A485" t="s">
        <v>537</v>
      </c>
      <c r="B485" t="s">
        <v>61</v>
      </c>
      <c r="C485" s="2">
        <v>46149.306944444441</v>
      </c>
      <c r="D485" s="2">
        <v>46149.381944444453</v>
      </c>
      <c r="E485">
        <v>1.8</v>
      </c>
      <c r="F485">
        <v>21.81</v>
      </c>
      <c r="G485" t="b">
        <v>0</v>
      </c>
      <c r="H485" s="2">
        <v>46149</v>
      </c>
      <c r="I485">
        <v>7</v>
      </c>
      <c r="J485" t="s">
        <v>34</v>
      </c>
      <c r="K485">
        <v>0</v>
      </c>
      <c r="L485" t="s">
        <v>35</v>
      </c>
      <c r="M485">
        <v>1.8</v>
      </c>
      <c r="N485" t="s">
        <v>62</v>
      </c>
      <c r="O485">
        <v>80</v>
      </c>
      <c r="P485" t="s">
        <v>37</v>
      </c>
      <c r="Q485">
        <v>0</v>
      </c>
      <c r="R485">
        <v>0</v>
      </c>
      <c r="S485">
        <v>0</v>
      </c>
      <c r="T485">
        <v>36.4</v>
      </c>
      <c r="U485">
        <v>21.81</v>
      </c>
      <c r="V485" t="s">
        <v>30</v>
      </c>
      <c r="W485">
        <v>0</v>
      </c>
      <c r="X485" t="s">
        <v>31</v>
      </c>
    </row>
    <row r="486" spans="1:24" x14ac:dyDescent="0.3">
      <c r="A486" t="s">
        <v>538</v>
      </c>
      <c r="B486" t="s">
        <v>33</v>
      </c>
      <c r="C486" s="2">
        <v>46150.915277777778</v>
      </c>
      <c r="D486" s="2">
        <v>46150.966666666667</v>
      </c>
      <c r="E486">
        <v>1.2333333333333329</v>
      </c>
      <c r="F486">
        <v>36.57</v>
      </c>
      <c r="G486" t="b">
        <v>0</v>
      </c>
      <c r="H486" s="2">
        <v>46150</v>
      </c>
      <c r="I486">
        <v>21</v>
      </c>
      <c r="J486" t="s">
        <v>41</v>
      </c>
      <c r="K486">
        <v>0</v>
      </c>
      <c r="L486" t="s">
        <v>66</v>
      </c>
      <c r="M486">
        <v>1.2333333333333329</v>
      </c>
      <c r="N486" t="s">
        <v>36</v>
      </c>
      <c r="O486">
        <v>60</v>
      </c>
      <c r="P486" t="s">
        <v>37</v>
      </c>
      <c r="Q486">
        <v>0</v>
      </c>
      <c r="R486">
        <v>0</v>
      </c>
      <c r="S486">
        <v>0</v>
      </c>
      <c r="T486">
        <v>28.9</v>
      </c>
      <c r="U486">
        <v>36.57</v>
      </c>
      <c r="V486" t="s">
        <v>30</v>
      </c>
      <c r="W486">
        <v>0</v>
      </c>
      <c r="X486" t="s">
        <v>31</v>
      </c>
    </row>
    <row r="487" spans="1:24" x14ac:dyDescent="0.3">
      <c r="A487" t="s">
        <v>539</v>
      </c>
      <c r="B487" t="s">
        <v>33</v>
      </c>
      <c r="C487" s="2">
        <v>46151.572916666657</v>
      </c>
      <c r="D487" s="2">
        <v>46151.781944444447</v>
      </c>
      <c r="E487">
        <v>5.0166666666666666</v>
      </c>
      <c r="F487">
        <v>84.14</v>
      </c>
      <c r="G487" t="b">
        <v>0</v>
      </c>
      <c r="H487" s="2">
        <v>46151</v>
      </c>
      <c r="I487">
        <v>13</v>
      </c>
      <c r="J487" t="s">
        <v>48</v>
      </c>
      <c r="K487">
        <v>1</v>
      </c>
      <c r="L487" t="s">
        <v>27</v>
      </c>
      <c r="M487">
        <v>5.0166666666666666</v>
      </c>
      <c r="N487" t="s">
        <v>36</v>
      </c>
      <c r="O487">
        <v>60</v>
      </c>
      <c r="P487" t="s">
        <v>37</v>
      </c>
      <c r="Q487">
        <v>1</v>
      </c>
      <c r="R487">
        <v>0</v>
      </c>
      <c r="S487">
        <v>1</v>
      </c>
      <c r="T487">
        <v>31.8</v>
      </c>
      <c r="U487">
        <v>84.14</v>
      </c>
      <c r="V487" t="s">
        <v>45</v>
      </c>
      <c r="W487">
        <v>0</v>
      </c>
      <c r="X487" t="s">
        <v>59</v>
      </c>
    </row>
    <row r="488" spans="1:24" x14ac:dyDescent="0.3">
      <c r="A488" t="s">
        <v>540</v>
      </c>
      <c r="B488" t="s">
        <v>47</v>
      </c>
      <c r="C488" s="2">
        <v>46152.265972222223</v>
      </c>
      <c r="D488" s="2">
        <v>46152.334027777782</v>
      </c>
      <c r="E488">
        <v>1.6333333333333331</v>
      </c>
      <c r="F488">
        <v>19.14</v>
      </c>
      <c r="G488" t="b">
        <v>0</v>
      </c>
      <c r="H488" s="2">
        <v>46152</v>
      </c>
      <c r="I488">
        <v>6</v>
      </c>
      <c r="J488" t="s">
        <v>52</v>
      </c>
      <c r="K488">
        <v>1</v>
      </c>
      <c r="L488" t="s">
        <v>35</v>
      </c>
      <c r="M488">
        <v>1.6333333333333331</v>
      </c>
      <c r="N488" t="s">
        <v>49</v>
      </c>
      <c r="O488">
        <v>50</v>
      </c>
      <c r="P488" t="s">
        <v>50</v>
      </c>
      <c r="Q488">
        <v>1</v>
      </c>
      <c r="R488">
        <v>0</v>
      </c>
      <c r="S488">
        <v>0</v>
      </c>
      <c r="T488">
        <v>30.3</v>
      </c>
      <c r="U488">
        <v>19.14</v>
      </c>
      <c r="V488" t="s">
        <v>38</v>
      </c>
      <c r="W488">
        <v>0</v>
      </c>
      <c r="X488" t="s">
        <v>31</v>
      </c>
    </row>
    <row r="489" spans="1:24" x14ac:dyDescent="0.3">
      <c r="A489" t="s">
        <v>541</v>
      </c>
      <c r="B489" t="s">
        <v>61</v>
      </c>
      <c r="C489" s="2">
        <v>46153.873611111107</v>
      </c>
      <c r="D489" s="2">
        <v>46153.938888888893</v>
      </c>
      <c r="E489">
        <v>1.5666666666666671</v>
      </c>
      <c r="F489">
        <v>27.51</v>
      </c>
      <c r="G489" t="b">
        <v>0</v>
      </c>
      <c r="H489" s="2">
        <v>46153</v>
      </c>
      <c r="I489">
        <v>20</v>
      </c>
      <c r="J489" t="s">
        <v>54</v>
      </c>
      <c r="K489">
        <v>0</v>
      </c>
      <c r="L489" t="s">
        <v>42</v>
      </c>
      <c r="M489">
        <v>1.5666666666666671</v>
      </c>
      <c r="N489" t="s">
        <v>62</v>
      </c>
      <c r="O489">
        <v>80</v>
      </c>
      <c r="P489" t="s">
        <v>37</v>
      </c>
      <c r="Q489">
        <v>0</v>
      </c>
      <c r="R489">
        <v>0</v>
      </c>
      <c r="S489">
        <v>1</v>
      </c>
      <c r="T489">
        <v>31.1</v>
      </c>
      <c r="U489">
        <v>27.51</v>
      </c>
      <c r="V489" t="s">
        <v>45</v>
      </c>
      <c r="W489">
        <v>0</v>
      </c>
      <c r="X489" t="s">
        <v>59</v>
      </c>
    </row>
    <row r="490" spans="1:24" x14ac:dyDescent="0.3">
      <c r="A490" t="s">
        <v>542</v>
      </c>
      <c r="B490" t="s">
        <v>61</v>
      </c>
      <c r="C490" s="2">
        <v>46154.780555555553</v>
      </c>
      <c r="D490" s="2">
        <v>46154.835416666669</v>
      </c>
      <c r="E490">
        <v>1.3166666666666671</v>
      </c>
      <c r="F490">
        <v>18.239999999999998</v>
      </c>
      <c r="G490" t="b">
        <v>0</v>
      </c>
      <c r="H490" s="2">
        <v>46154</v>
      </c>
      <c r="I490">
        <v>18</v>
      </c>
      <c r="J490" t="s">
        <v>56</v>
      </c>
      <c r="K490">
        <v>0</v>
      </c>
      <c r="L490" t="s">
        <v>42</v>
      </c>
      <c r="M490">
        <v>1.3166666666666671</v>
      </c>
      <c r="N490" t="s">
        <v>62</v>
      </c>
      <c r="O490">
        <v>80</v>
      </c>
      <c r="P490" t="s">
        <v>37</v>
      </c>
      <c r="Q490">
        <v>0</v>
      </c>
      <c r="R490">
        <v>0</v>
      </c>
      <c r="S490">
        <v>0</v>
      </c>
      <c r="T490">
        <v>32.9</v>
      </c>
      <c r="U490">
        <v>18.239999999999998</v>
      </c>
      <c r="V490" t="s">
        <v>38</v>
      </c>
      <c r="W490">
        <v>0</v>
      </c>
      <c r="X490" t="s">
        <v>31</v>
      </c>
    </row>
    <row r="491" spans="1:24" x14ac:dyDescent="0.3">
      <c r="A491" t="s">
        <v>543</v>
      </c>
      <c r="B491" t="s">
        <v>25</v>
      </c>
      <c r="C491" s="2">
        <v>46155.727777777778</v>
      </c>
      <c r="D491" s="2">
        <v>46155.943055555559</v>
      </c>
      <c r="E491">
        <v>5.166666666666667</v>
      </c>
      <c r="F491">
        <v>79.959999999999994</v>
      </c>
      <c r="G491" t="b">
        <v>0</v>
      </c>
      <c r="H491" s="2">
        <v>46155</v>
      </c>
      <c r="I491">
        <v>17</v>
      </c>
      <c r="J491" t="s">
        <v>26</v>
      </c>
      <c r="K491">
        <v>0</v>
      </c>
      <c r="L491" t="s">
        <v>42</v>
      </c>
      <c r="M491">
        <v>5.166666666666667</v>
      </c>
      <c r="N491" t="s">
        <v>28</v>
      </c>
      <c r="O491">
        <v>70</v>
      </c>
      <c r="P491" t="s">
        <v>29</v>
      </c>
      <c r="Q491">
        <v>0</v>
      </c>
      <c r="R491">
        <v>0</v>
      </c>
      <c r="S491">
        <v>0</v>
      </c>
      <c r="T491">
        <v>28.9</v>
      </c>
      <c r="U491">
        <v>79.959999999999994</v>
      </c>
      <c r="V491" t="s">
        <v>38</v>
      </c>
      <c r="W491">
        <v>0</v>
      </c>
      <c r="X491" t="s">
        <v>31</v>
      </c>
    </row>
    <row r="492" spans="1:24" x14ac:dyDescent="0.3">
      <c r="A492" t="s">
        <v>544</v>
      </c>
      <c r="B492" t="s">
        <v>47</v>
      </c>
      <c r="C492" s="2">
        <v>46156.385416666657</v>
      </c>
      <c r="D492" s="2">
        <v>46156.46875</v>
      </c>
      <c r="E492">
        <v>2</v>
      </c>
      <c r="F492">
        <v>36.39</v>
      </c>
      <c r="G492" t="b">
        <v>0</v>
      </c>
      <c r="H492" s="2">
        <v>46156</v>
      </c>
      <c r="I492">
        <v>9</v>
      </c>
      <c r="J492" t="s">
        <v>34</v>
      </c>
      <c r="K492">
        <v>0</v>
      </c>
      <c r="L492" t="s">
        <v>35</v>
      </c>
      <c r="M492">
        <v>2</v>
      </c>
      <c r="N492" t="s">
        <v>49</v>
      </c>
      <c r="O492">
        <v>50</v>
      </c>
      <c r="P492" t="s">
        <v>50</v>
      </c>
      <c r="Q492">
        <v>0</v>
      </c>
      <c r="R492">
        <v>0</v>
      </c>
      <c r="S492">
        <v>0</v>
      </c>
      <c r="T492">
        <v>33.5</v>
      </c>
      <c r="U492">
        <v>36.39</v>
      </c>
      <c r="V492" t="s">
        <v>45</v>
      </c>
      <c r="W492">
        <v>0</v>
      </c>
      <c r="X492" t="s">
        <v>31</v>
      </c>
    </row>
    <row r="493" spans="1:24" x14ac:dyDescent="0.3">
      <c r="A493" t="s">
        <v>545</v>
      </c>
      <c r="B493" t="s">
        <v>40</v>
      </c>
      <c r="C493" s="2">
        <v>46157.55972222222</v>
      </c>
      <c r="D493" s="2">
        <v>46157.627083333333</v>
      </c>
      <c r="E493">
        <v>1.6166666666666669</v>
      </c>
      <c r="F493">
        <v>29.49</v>
      </c>
      <c r="G493" t="b">
        <v>0</v>
      </c>
      <c r="H493" s="2">
        <v>46157</v>
      </c>
      <c r="I493">
        <v>13</v>
      </c>
      <c r="J493" t="s">
        <v>41</v>
      </c>
      <c r="K493">
        <v>0</v>
      </c>
      <c r="L493" t="s">
        <v>27</v>
      </c>
      <c r="M493">
        <v>1.6166666666666669</v>
      </c>
      <c r="N493" t="s">
        <v>43</v>
      </c>
      <c r="O493">
        <v>100</v>
      </c>
      <c r="P493" t="s">
        <v>44</v>
      </c>
      <c r="Q493">
        <v>0</v>
      </c>
      <c r="R493">
        <v>0</v>
      </c>
      <c r="S493">
        <v>0</v>
      </c>
      <c r="T493">
        <v>29.8</v>
      </c>
      <c r="U493">
        <v>29.49</v>
      </c>
      <c r="V493" t="s">
        <v>45</v>
      </c>
      <c r="W493">
        <v>0</v>
      </c>
      <c r="X493" t="s">
        <v>31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E8734-7E4D-42F9-A138-ADEE73FFD9B1}">
  <dimension ref="A1:B5"/>
  <sheetViews>
    <sheetView workbookViewId="0">
      <selection activeCell="B6" sqref="B6"/>
    </sheetView>
  </sheetViews>
  <sheetFormatPr defaultRowHeight="14.4" x14ac:dyDescent="0.3"/>
  <cols>
    <col min="1" max="1" width="17.33203125" customWidth="1"/>
    <col min="2" max="2" width="22.77734375" customWidth="1"/>
  </cols>
  <sheetData>
    <row r="1" spans="1:2" x14ac:dyDescent="0.3">
      <c r="A1" s="3" t="s">
        <v>555</v>
      </c>
      <c r="B1" t="s">
        <v>556</v>
      </c>
    </row>
    <row r="2" spans="1:2" x14ac:dyDescent="0.3">
      <c r="A2" t="s">
        <v>557</v>
      </c>
      <c r="B2">
        <f>COUNTA(Cleaned_Data!A2:A1000)</f>
        <v>492</v>
      </c>
    </row>
    <row r="3" spans="1:2" x14ac:dyDescent="0.3">
      <c r="A3" t="s">
        <v>558</v>
      </c>
      <c r="B3">
        <f>AVERAGE(Cleaned_Data!E2:E1000)</f>
        <v>2.1890041493775931</v>
      </c>
    </row>
    <row r="4" spans="1:2" x14ac:dyDescent="0.3">
      <c r="A4" t="s">
        <v>559</v>
      </c>
      <c r="B4">
        <f>SUM(Cleaned_Data!F2:F1000)</f>
        <v>17632.830000000013</v>
      </c>
    </row>
    <row r="5" spans="1:2" x14ac:dyDescent="0.3">
      <c r="A5" t="s">
        <v>560</v>
      </c>
      <c r="B5">
        <f>AVERAGE(Cleaned_Data!F2:F1000)</f>
        <v>35.839085365853684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/>
  </sheetViews>
  <sheetFormatPr defaultRowHeight="14.4" x14ac:dyDescent="0.3"/>
  <sheetData>
    <row r="1" spans="1:5" x14ac:dyDescent="0.3">
      <c r="A1" s="1" t="s">
        <v>1</v>
      </c>
      <c r="B1" s="1" t="s">
        <v>546</v>
      </c>
      <c r="C1" s="1" t="s">
        <v>547</v>
      </c>
      <c r="D1" s="1" t="s">
        <v>548</v>
      </c>
      <c r="E1" s="1" t="s">
        <v>549</v>
      </c>
    </row>
    <row r="2" spans="1:5" x14ac:dyDescent="0.3">
      <c r="A2" t="s">
        <v>61</v>
      </c>
      <c r="B2">
        <v>104</v>
      </c>
      <c r="C2">
        <v>2.28202614379085</v>
      </c>
      <c r="D2">
        <v>3726.91</v>
      </c>
      <c r="E2">
        <v>35.835673076923072</v>
      </c>
    </row>
    <row r="3" spans="1:5" x14ac:dyDescent="0.3">
      <c r="A3" t="s">
        <v>33</v>
      </c>
      <c r="B3">
        <v>93</v>
      </c>
      <c r="C3">
        <v>2.075268817204301</v>
      </c>
      <c r="D3">
        <v>3188.62</v>
      </c>
      <c r="E3">
        <v>34.28623655913978</v>
      </c>
    </row>
    <row r="4" spans="1:5" x14ac:dyDescent="0.3">
      <c r="A4" t="s">
        <v>40</v>
      </c>
      <c r="B4">
        <v>89</v>
      </c>
      <c r="C4">
        <v>2.2439922480620149</v>
      </c>
      <c r="D4">
        <v>3290.2</v>
      </c>
      <c r="E4">
        <v>36.968539325842691</v>
      </c>
    </row>
    <row r="5" spans="1:5" x14ac:dyDescent="0.3">
      <c r="A5" t="s">
        <v>47</v>
      </c>
      <c r="B5">
        <v>105</v>
      </c>
      <c r="C5">
        <v>2.024519230769231</v>
      </c>
      <c r="D5">
        <v>3586.64</v>
      </c>
      <c r="E5">
        <v>34.158476190476193</v>
      </c>
    </row>
    <row r="6" spans="1:5" x14ac:dyDescent="0.3">
      <c r="A6" t="s">
        <v>25</v>
      </c>
      <c r="B6">
        <v>101</v>
      </c>
      <c r="C6">
        <v>2.3278350515463919</v>
      </c>
      <c r="D6">
        <v>3840.46</v>
      </c>
      <c r="E6">
        <v>38.024356435643561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8"/>
  <sheetViews>
    <sheetView workbookViewId="0"/>
  </sheetViews>
  <sheetFormatPr defaultRowHeight="14.4" x14ac:dyDescent="0.3"/>
  <sheetData>
    <row r="1" spans="1:2" x14ac:dyDescent="0.3">
      <c r="A1" s="1" t="s">
        <v>8</v>
      </c>
      <c r="B1" s="1" t="s">
        <v>546</v>
      </c>
    </row>
    <row r="2" spans="1:2" x14ac:dyDescent="0.3">
      <c r="A2">
        <v>6</v>
      </c>
      <c r="B2">
        <v>27</v>
      </c>
    </row>
    <row r="3" spans="1:2" x14ac:dyDescent="0.3">
      <c r="A3">
        <v>7</v>
      </c>
      <c r="B3">
        <v>17</v>
      </c>
    </row>
    <row r="4" spans="1:2" x14ac:dyDescent="0.3">
      <c r="A4">
        <v>8</v>
      </c>
      <c r="B4">
        <v>34</v>
      </c>
    </row>
    <row r="5" spans="1:2" x14ac:dyDescent="0.3">
      <c r="A5">
        <v>9</v>
      </c>
      <c r="B5">
        <v>25</v>
      </c>
    </row>
    <row r="6" spans="1:2" x14ac:dyDescent="0.3">
      <c r="A6">
        <v>10</v>
      </c>
      <c r="B6">
        <v>25</v>
      </c>
    </row>
    <row r="7" spans="1:2" x14ac:dyDescent="0.3">
      <c r="A7">
        <v>11</v>
      </c>
      <c r="B7">
        <v>31</v>
      </c>
    </row>
    <row r="8" spans="1:2" x14ac:dyDescent="0.3">
      <c r="A8">
        <v>12</v>
      </c>
      <c r="B8">
        <v>27</v>
      </c>
    </row>
    <row r="9" spans="1:2" x14ac:dyDescent="0.3">
      <c r="A9">
        <v>13</v>
      </c>
      <c r="B9">
        <v>26</v>
      </c>
    </row>
    <row r="10" spans="1:2" x14ac:dyDescent="0.3">
      <c r="A10">
        <v>14</v>
      </c>
      <c r="B10">
        <v>35</v>
      </c>
    </row>
    <row r="11" spans="1:2" x14ac:dyDescent="0.3">
      <c r="A11">
        <v>15</v>
      </c>
      <c r="B11">
        <v>22</v>
      </c>
    </row>
    <row r="12" spans="1:2" x14ac:dyDescent="0.3">
      <c r="A12">
        <v>16</v>
      </c>
      <c r="B12">
        <v>26</v>
      </c>
    </row>
    <row r="13" spans="1:2" x14ac:dyDescent="0.3">
      <c r="A13">
        <v>17</v>
      </c>
      <c r="B13">
        <v>32</v>
      </c>
    </row>
    <row r="14" spans="1:2" x14ac:dyDescent="0.3">
      <c r="A14">
        <v>18</v>
      </c>
      <c r="B14">
        <v>36</v>
      </c>
    </row>
    <row r="15" spans="1:2" x14ac:dyDescent="0.3">
      <c r="A15">
        <v>19</v>
      </c>
      <c r="B15">
        <v>34</v>
      </c>
    </row>
    <row r="16" spans="1:2" x14ac:dyDescent="0.3">
      <c r="A16">
        <v>20</v>
      </c>
      <c r="B16">
        <v>32</v>
      </c>
    </row>
    <row r="17" spans="1:2" x14ac:dyDescent="0.3">
      <c r="A17">
        <v>21</v>
      </c>
      <c r="B17">
        <v>32</v>
      </c>
    </row>
    <row r="18" spans="1:2" x14ac:dyDescent="0.3">
      <c r="A18">
        <v>22</v>
      </c>
      <c r="B18">
        <v>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"/>
  <sheetViews>
    <sheetView workbookViewId="0"/>
  </sheetViews>
  <sheetFormatPr defaultRowHeight="14.4" x14ac:dyDescent="0.3"/>
  <sheetData>
    <row r="1" spans="1:4" x14ac:dyDescent="0.3">
      <c r="A1" s="1" t="s">
        <v>15</v>
      </c>
      <c r="B1" s="1" t="s">
        <v>550</v>
      </c>
      <c r="C1" s="1" t="s">
        <v>547</v>
      </c>
      <c r="D1" s="1" t="s">
        <v>551</v>
      </c>
    </row>
    <row r="2" spans="1:4" x14ac:dyDescent="0.3">
      <c r="A2" t="s">
        <v>37</v>
      </c>
      <c r="B2">
        <v>197</v>
      </c>
      <c r="C2">
        <v>2.1834188034188031</v>
      </c>
      <c r="D2">
        <v>1.8833333333333331</v>
      </c>
    </row>
    <row r="3" spans="1:4" x14ac:dyDescent="0.3">
      <c r="A3" t="s">
        <v>50</v>
      </c>
      <c r="B3">
        <v>105</v>
      </c>
      <c r="C3">
        <v>2.024519230769231</v>
      </c>
      <c r="D3">
        <v>1.7</v>
      </c>
    </row>
    <row r="4" spans="1:4" x14ac:dyDescent="0.3">
      <c r="A4" t="s">
        <v>29</v>
      </c>
      <c r="B4">
        <v>101</v>
      </c>
      <c r="C4">
        <v>2.3278350515463919</v>
      </c>
      <c r="D4">
        <v>2.35</v>
      </c>
    </row>
    <row r="5" spans="1:4" x14ac:dyDescent="0.3">
      <c r="A5" t="s">
        <v>44</v>
      </c>
      <c r="B5">
        <v>89</v>
      </c>
      <c r="C5">
        <v>2.2439922480620149</v>
      </c>
      <c r="D5">
        <v>1.875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"/>
  <sheetViews>
    <sheetView workbookViewId="0"/>
  </sheetViews>
  <sheetFormatPr defaultRowHeight="14.4" x14ac:dyDescent="0.3"/>
  <sheetData>
    <row r="1" spans="1:3" x14ac:dyDescent="0.3">
      <c r="A1" s="1" t="s">
        <v>22</v>
      </c>
      <c r="B1" s="1" t="s">
        <v>550</v>
      </c>
      <c r="C1" s="1" t="s">
        <v>547</v>
      </c>
    </row>
    <row r="2" spans="1:3" x14ac:dyDescent="0.3">
      <c r="A2">
        <v>0</v>
      </c>
      <c r="B2">
        <v>464</v>
      </c>
      <c r="C2">
        <v>2.1777533039647579</v>
      </c>
    </row>
    <row r="3" spans="1:3" x14ac:dyDescent="0.3">
      <c r="A3">
        <v>1</v>
      </c>
      <c r="B3">
        <v>28</v>
      </c>
      <c r="C3">
        <v>2.371428571428571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"/>
  <sheetViews>
    <sheetView workbookViewId="0"/>
  </sheetViews>
  <sheetFormatPr defaultRowHeight="14.4" x14ac:dyDescent="0.3"/>
  <sheetData>
    <row r="1" spans="1:3" x14ac:dyDescent="0.3">
      <c r="A1" s="1" t="s">
        <v>18</v>
      </c>
      <c r="B1" s="1" t="s">
        <v>550</v>
      </c>
      <c r="C1" s="1" t="s">
        <v>547</v>
      </c>
    </row>
    <row r="2" spans="1:3" x14ac:dyDescent="0.3">
      <c r="A2">
        <v>0</v>
      </c>
      <c r="B2">
        <v>363</v>
      </c>
      <c r="C2">
        <v>2.240502793296089</v>
      </c>
    </row>
    <row r="3" spans="1:3" x14ac:dyDescent="0.3">
      <c r="A3">
        <v>1</v>
      </c>
      <c r="B3">
        <v>129</v>
      </c>
      <c r="C3">
        <v>2.040322580645161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2"/>
  <sheetViews>
    <sheetView workbookViewId="0"/>
  </sheetViews>
  <sheetFormatPr defaultRowHeight="14.4" x14ac:dyDescent="0.3"/>
  <sheetData>
    <row r="1" spans="1:3" x14ac:dyDescent="0.3">
      <c r="A1" s="1" t="s">
        <v>552</v>
      </c>
      <c r="B1" s="1" t="s">
        <v>553</v>
      </c>
      <c r="C1" s="1" t="s">
        <v>554</v>
      </c>
    </row>
    <row r="2" spans="1:3" x14ac:dyDescent="0.3">
      <c r="A2" t="s">
        <v>8</v>
      </c>
      <c r="B2">
        <v>0</v>
      </c>
      <c r="C2">
        <v>0</v>
      </c>
    </row>
    <row r="3" spans="1:3" x14ac:dyDescent="0.3">
      <c r="A3" t="s">
        <v>4</v>
      </c>
      <c r="B3">
        <v>10</v>
      </c>
      <c r="C3">
        <v>2.0299999999999998</v>
      </c>
    </row>
    <row r="4" spans="1:3" x14ac:dyDescent="0.3">
      <c r="A4" t="s">
        <v>5</v>
      </c>
      <c r="B4">
        <v>0</v>
      </c>
      <c r="C4">
        <v>0</v>
      </c>
    </row>
    <row r="5" spans="1:3" x14ac:dyDescent="0.3">
      <c r="A5" t="s">
        <v>14</v>
      </c>
      <c r="B5">
        <v>0</v>
      </c>
      <c r="C5">
        <v>0</v>
      </c>
    </row>
    <row r="6" spans="1:3" x14ac:dyDescent="0.3">
      <c r="A6" t="s">
        <v>19</v>
      </c>
      <c r="B6">
        <v>0</v>
      </c>
      <c r="C6">
        <v>0</v>
      </c>
    </row>
    <row r="7" spans="1:3" x14ac:dyDescent="0.3">
      <c r="A7" t="s">
        <v>18</v>
      </c>
      <c r="B7">
        <v>0</v>
      </c>
      <c r="C7">
        <v>0</v>
      </c>
    </row>
    <row r="8" spans="1:3" x14ac:dyDescent="0.3">
      <c r="A8" t="s">
        <v>22</v>
      </c>
      <c r="B8">
        <v>0</v>
      </c>
      <c r="C8">
        <v>0</v>
      </c>
    </row>
    <row r="9" spans="1:3" x14ac:dyDescent="0.3">
      <c r="A9" t="s">
        <v>10</v>
      </c>
      <c r="B9">
        <v>0</v>
      </c>
      <c r="C9">
        <v>0</v>
      </c>
    </row>
    <row r="10" spans="1:3" x14ac:dyDescent="0.3">
      <c r="A10" t="s">
        <v>1</v>
      </c>
      <c r="B10">
        <v>0</v>
      </c>
      <c r="C10">
        <v>0</v>
      </c>
    </row>
    <row r="11" spans="1:3" x14ac:dyDescent="0.3">
      <c r="A11" t="s">
        <v>15</v>
      </c>
      <c r="B11">
        <v>0</v>
      </c>
      <c r="C11">
        <v>0</v>
      </c>
    </row>
    <row r="12" spans="1:3" x14ac:dyDescent="0.3">
      <c r="A12" t="s">
        <v>11</v>
      </c>
      <c r="B12">
        <v>0</v>
      </c>
      <c r="C1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Zone_Session_Summary</vt:lpstr>
      <vt:lpstr>Peak Parking Hours</vt:lpstr>
      <vt:lpstr>Average Parking Duration by Zon</vt:lpstr>
      <vt:lpstr>Event vs Non Event Days</vt:lpstr>
      <vt:lpstr>Rain vs No Rain</vt:lpstr>
      <vt:lpstr>Parking_Dashboard</vt:lpstr>
      <vt:lpstr>Cleaned_Data</vt:lpstr>
      <vt:lpstr>KPI_Summary</vt:lpstr>
      <vt:lpstr>Zone_Summary</vt:lpstr>
      <vt:lpstr>Hourly_Summary</vt:lpstr>
      <vt:lpstr>Duration_by_Zone_Type</vt:lpstr>
      <vt:lpstr>Event_Analysis</vt:lpstr>
      <vt:lpstr>Weather_Analysis</vt:lpstr>
      <vt:lpstr>Missing_Values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Rukshana S</cp:lastModifiedBy>
  <dcterms:created xsi:type="dcterms:W3CDTF">2026-10-12T06:45:11Z</dcterms:created>
  <dcterms:modified xsi:type="dcterms:W3CDTF">2026-10-12T09:07:12Z</dcterms:modified>
</cp:coreProperties>
</file>